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B9393AF4-D4B6-4C25-B839-195AC400D222}" xr6:coauthVersionLast="47" xr6:coauthVersionMax="47" xr10:uidLastSave="{00000000-0000-0000-0000-000000000000}"/>
  <bookViews>
    <workbookView xWindow="-120" yWindow="-120" windowWidth="20730" windowHeight="11040" firstSheet="1" activeTab="1" xr2:uid="{00000000-000D-0000-FFFF-FFFF00000000}"/>
  </bookViews>
  <sheets>
    <sheet name="Analyse des ventes par ville" sheetId="6" r:id="rId1"/>
    <sheet name="Dashboard graphique" sheetId="7" r:id="rId2"/>
    <sheet name="Tableau croise dynamique" sheetId="5" r:id="rId3"/>
    <sheet name="Donnees_Ventes" sheetId="1" r:id="rId4"/>
    <sheet name="Infos_Projet" sheetId="2" r:id="rId5"/>
    <sheet name="Checklist" sheetId="3" r:id="rId6"/>
  </sheets>
  <definedNames>
    <definedName name="_xlchart.v5.0" hidden="1">'Tableau croise dynamique'!$K$34</definedName>
    <definedName name="_xlchart.v5.1" hidden="1">'Tableau croise dynamique'!$K$35:$K$38</definedName>
    <definedName name="_xlchart.v5.2" hidden="1">'Tableau croise dynamique'!$L$34</definedName>
    <definedName name="_xlchart.v5.3" hidden="1">'Tableau croise dynamique'!$L$35:$L$38</definedName>
    <definedName name="Slicer_Months__Date">#N/A</definedName>
    <definedName name="Slicer_Produit">#N/A</definedName>
    <definedName name="Slicer_Vendeur">#N/A</definedName>
    <definedName name="Slicer_Ville">#N/A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1"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alcChain>
</file>

<file path=xl/sharedStrings.xml><?xml version="1.0" encoding="utf-8"?>
<sst xmlns="http://schemas.openxmlformats.org/spreadsheetml/2006/main" count="300" uniqueCount="62">
  <si>
    <t>Date</t>
  </si>
  <si>
    <t>Produit</t>
  </si>
  <si>
    <t>Catégorie</t>
  </si>
  <si>
    <t>Vendeur</t>
  </si>
  <si>
    <t>Ville</t>
  </si>
  <si>
    <t>Quantité</t>
  </si>
  <si>
    <t>Prix unitaire (USD)</t>
  </si>
  <si>
    <t>Ordinateur portable</t>
  </si>
  <si>
    <t>Électronique</t>
  </si>
  <si>
    <t>Jean</t>
  </si>
  <si>
    <t>Santiago</t>
  </si>
  <si>
    <t>Souris</t>
  </si>
  <si>
    <t>Accessoires</t>
  </si>
  <si>
    <t>Marie</t>
  </si>
  <si>
    <t>Santo Domingo</t>
  </si>
  <si>
    <t>Clavier</t>
  </si>
  <si>
    <t>Écran 24 pouces</t>
  </si>
  <si>
    <t>Carlos</t>
  </si>
  <si>
    <t>La Vega</t>
  </si>
  <si>
    <t>Casque audio</t>
  </si>
  <si>
    <t>Imprimante</t>
  </si>
  <si>
    <t>Bureau</t>
  </si>
  <si>
    <t>Webcam</t>
  </si>
  <si>
    <t>Puerto Plata</t>
  </si>
  <si>
    <t>Projet</t>
  </si>
  <si>
    <t>Niveau</t>
  </si>
  <si>
    <t>Objectif</t>
  </si>
  <si>
    <t>Outils</t>
  </si>
  <si>
    <t>Livrables</t>
  </si>
  <si>
    <t>Projet 01 — Analyse des ventes</t>
  </si>
  <si>
    <t>Débutant</t>
  </si>
  <si>
    <t>Analyser des ventes avec Excel puis reproduire l’analyse dans Power BI</t>
  </si>
  <si>
    <t>Excel, Power BI</t>
  </si>
  <si>
    <t>Fichier Excel analysé, dashboard Power BI, README GitHub</t>
  </si>
  <si>
    <t>Étape</t>
  </si>
  <si>
    <t>Travail</t>
  </si>
  <si>
    <t>Statut</t>
  </si>
  <si>
    <t>Transformer les données en tableau</t>
  </si>
  <si>
    <t>À faire</t>
  </si>
  <si>
    <t>Calculer le montant de vente</t>
  </si>
  <si>
    <t>Calculer le chiffre d'affaires total</t>
  </si>
  <si>
    <t>Analyser les produits</t>
  </si>
  <si>
    <t>Analyser les villes</t>
  </si>
  <si>
    <t>Créer un tableau croisé dynamique</t>
  </si>
  <si>
    <t>Créer des graphiques puis un dashboard Power BI</t>
  </si>
  <si>
    <t>Montant de ventes</t>
  </si>
  <si>
    <t>Row Labels</t>
  </si>
  <si>
    <t>Grand Total</t>
  </si>
  <si>
    <t>Sum of Montant de ventes</t>
  </si>
  <si>
    <t>le produit le plus chere</t>
  </si>
  <si>
    <t>le produit le plus vendu</t>
  </si>
  <si>
    <t>Sum of Quantité</t>
  </si>
  <si>
    <t xml:space="preserve">ville avec le plus gros chiffres </t>
  </si>
  <si>
    <t>vendeur avec le plus grand chiffre</t>
  </si>
  <si>
    <t xml:space="preserve">qui vend le plus </t>
  </si>
  <si>
    <t>ene</t>
  </si>
  <si>
    <t>feb</t>
  </si>
  <si>
    <t>mar</t>
  </si>
  <si>
    <t>abr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</si>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</sst>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2" fillId="2" borderId="3" xfId="0" applyFont="1" applyFill="1" applyBorder="1"/>
    <xf numFmtId="0" fontId="0" fillId="0" borderId="0" xfId="0" applyAlignment="1">
      <alignment horizontal="center"/>
    </xf>
    <xf numFmtId="0" fontId="0" fillId="0" borderId="0" xfId="0" applyNumberFormat="1"/>
  </cellXfs>
  <cellStyles count="1">
    <cellStyle name="Normal" xfId="0" builtinId="0"/>
  </cellStyles>
  <dxfs count="7">
    <dxf>
      <numFmt numFmtId="0" formatCode="General"/>
    </dxf>
    <dxf>
      <numFmt numFmtId="0" formatCode="General"/>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01 de Analyse de Ventes(Sandjeev Belval).xlsx]Tableau croise dynamique!PivotTable12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Chiffre</a:t>
            </a:r>
            <a:r>
              <a:rPr lang="en-US" b="1" baseline="0"/>
              <a:t> d'affaires par mois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'Tableau croise dynamique'!$D$29</c:f>
              <c:strCache>
                <c:ptCount val="1"/>
                <c:pt idx="0">
                  <c:v>Total</c:v>
                </c:pt>
              </c:strCache>
            </c:strRef>
          </c:tx>
          <c:spPr>
            <a:solidFill>
              <a:schemeClr val="accent1"/>
            </a:solidFill>
            <a:ln>
              <a:noFill/>
            </a:ln>
            <a:effectLst/>
          </c:spPr>
          <c:invertIfNegative val="0"/>
          <c:cat>
            <c:strRef>
              <c:f>'Tableau croise dynamique'!$C$30:$C$37</c:f>
              <c:strCache>
                <c:ptCount val="7"/>
                <c:pt idx="0">
                  <c:v>ene</c:v>
                </c:pt>
                <c:pt idx="1">
                  <c:v>feb</c:v>
                </c:pt>
                <c:pt idx="2">
                  <c:v>mar</c:v>
                </c:pt>
                <c:pt idx="3">
                  <c:v>abr</c:v>
                </c:pt>
                <c:pt idx="4">
                  <c:v>may</c:v>
                </c:pt>
                <c:pt idx="5">
                  <c:v>jun</c:v>
                </c:pt>
                <c:pt idx="6">
                  <c:v>jul</c:v>
                </c:pt>
              </c:strCache>
            </c:strRef>
          </c:cat>
          <c:val>
            <c:numRef>
              <c:f>'Tableau croise dynamique'!$D$30:$D$37</c:f>
              <c:numCache>
                <c:formatCode>General</c:formatCode>
                <c:ptCount val="7"/>
                <c:pt idx="0">
                  <c:v>300</c:v>
                </c:pt>
                <c:pt idx="1">
                  <c:v>450</c:v>
                </c:pt>
                <c:pt idx="2">
                  <c:v>300</c:v>
                </c:pt>
                <c:pt idx="3">
                  <c:v>300</c:v>
                </c:pt>
                <c:pt idx="4">
                  <c:v>450</c:v>
                </c:pt>
                <c:pt idx="5">
                  <c:v>300</c:v>
                </c:pt>
                <c:pt idx="6">
                  <c:v>450</c:v>
                </c:pt>
              </c:numCache>
            </c:numRef>
          </c:val>
          <c:extLst>
            <c:ext xmlns:c16="http://schemas.microsoft.com/office/drawing/2014/chart" uri="{C3380CC4-5D6E-409C-BE32-E72D297353CC}">
              <c16:uniqueId val="{00000000-EF11-4F00-BF87-708CB8574264}"/>
            </c:ext>
          </c:extLst>
        </c:ser>
        <c:dLbls>
          <c:showLegendKey val="0"/>
          <c:showVal val="0"/>
          <c:showCatName val="0"/>
          <c:showSerName val="0"/>
          <c:showPercent val="0"/>
          <c:showBubbleSize val="0"/>
        </c:dLbls>
        <c:gapWidth val="219"/>
        <c:overlap val="-27"/>
        <c:axId val="2133633456"/>
        <c:axId val="1995032752"/>
      </c:barChart>
      <c:catAx>
        <c:axId val="213363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995032752"/>
        <c:crosses val="autoZero"/>
        <c:auto val="1"/>
        <c:lblAlgn val="ctr"/>
        <c:lblOffset val="100"/>
        <c:noMultiLvlLbl val="0"/>
      </c:catAx>
      <c:valAx>
        <c:axId val="199503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21336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01 de Analyse de Ventes(Sandjeev Belval).xlsx]Tableau croise dynamique!PivotTable1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b="1"/>
              <a:t>Chiffre</a:t>
            </a:r>
            <a:r>
              <a:rPr lang="es-DO" b="1" baseline="0"/>
              <a:t> d'affaires par prodruit</a:t>
            </a:r>
            <a:endParaRPr lang="es-DO"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'Tableau croise dynamique'!$E$7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'Tableau croise dynamique'!$D$8:$D$9</c:f>
              <c:strCache>
                <c:ptCount val="1"/>
                <c:pt idx="0">
                  <c:v>Imprimante</c:v>
                </c:pt>
              </c:strCache>
            </c:strRef>
          </c:cat>
          <c:val>
            <c:numRef>
              <c:f>'Tableau croise dynamique'!$E$8:$E$9</c:f>
              <c:numCache>
                <c:formatCode>General</c:formatCode>
                <c:ptCount val="1"/>
                <c:pt idx="0">
                  <c:v>2550</c:v>
                </c:pt>
              </c:numCache>
            </c:numRef>
          </c:val>
          <c:smooth val="0"/>
          <c:extLst>
            <c:ext xmlns:c16="http://schemas.microsoft.com/office/drawing/2014/chart" uri="{C3380CC4-5D6E-409C-BE32-E72D297353CC}">
              <c16:uniqueId val="{00000000-CD53-408C-9A30-F201DAEE0264}"/>
            </c:ext>
          </c:extLst>
        </c:ser>
        <c:dLbls>
          <c:showLegendKey val="0"/>
          <c:showVal val="0"/>
          <c:showCatName val="0"/>
          <c:showSerName val="0"/>
          <c:showPercent val="0"/>
          <c:showBubbleSize val="0"/>
        </c:dLbls>
        <c:marker val="1"/>
        <c:smooth val="0"/>
        <c:axId val="1870098223"/>
        <c:axId val="1881374831"/>
      </c:lineChart>
      <c:catAx>
        <c:axId val="1870098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881374831"/>
        <c:crosses val="autoZero"/>
        <c:auto val="1"/>
        <c:lblAlgn val="ctr"/>
        <c:lblOffset val="100"/>
        <c:noMultiLvlLbl val="0"/>
      </c:catAx>
      <c:valAx>
        <c:axId val="188137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87009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01 de Analyse de Ventes(Sandjeev Belval).xlsx]Tableau croise dynamique!PivotTable2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DO" b="1"/>
              <a:t>Chiffre</a:t>
            </a:r>
            <a:r>
              <a:rPr lang="es-DO" b="1" baseline="0"/>
              <a:t> d'affaires par vendeur</a:t>
            </a:r>
            <a:endParaRPr lang="es-D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DO"/>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'Tableau croise dynamique'!$I$34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14-42D6-83FE-DD1FC70C91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14-42D6-83FE-DD1FC70C91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14-42D6-83FE-DD1FC70C91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'Tableau croise dynamique'!$H$35:$H$38</c:f>
              <c:strCache>
                <c:ptCount val="3"/>
                <c:pt idx="0">
                  <c:v>Carlos</c:v>
                </c:pt>
                <c:pt idx="1">
                  <c:v>Marie</c:v>
                </c:pt>
                <c:pt idx="2">
                  <c:v>Jean</c:v>
                </c:pt>
              </c:strCache>
            </c:strRef>
          </c:cat>
          <c:val>
            <c:numRef>
              <c:f>'Tableau croise dynamique'!$I$35:$I$38</c:f>
              <c:numCache>
                <c:formatCode>General</c:formatCode>
                <c:ptCount val="3"/>
                <c:pt idx="0">
                  <c:v>1500</c:v>
                </c:pt>
                <c:pt idx="1">
                  <c:v>750</c:v>
                </c:pt>
                <c:pt idx="2">
                  <c:v>300</c:v>
                </c:pt>
              </c:numCache>
            </c:numRef>
          </c:val>
          <c:extLst>
            <c:ext xmlns:c16="http://schemas.microsoft.com/office/drawing/2014/chart" uri="{C3380CC4-5D6E-409C-BE32-E72D297353CC}">
              <c16:uniqueId val="{00000006-FA14-42D6-83FE-DD1FC70C91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[Projet 01 de Analyse de Ventes(Sandjeev Belval).xlsx]Tableau croise dynamique!PivotTable6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des prodruits par chiffre d'affaires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'Tableau croise dynamique'!$D$45</c:f>
              <c:strCache>
                <c:ptCount val="1"/>
                <c:pt idx="0">
                  <c:v>Total</c:v>
                </c:pt>
              </c:strCache>
            </c:strRef>
          </c:tx>
          <c:spPr>
            <a:solidFill>
              <a:schemeClr val="accent1"/>
            </a:solidFill>
            <a:ln>
              <a:noFill/>
            </a:ln>
            <a:effectLst/>
          </c:spPr>
          <c:invertIfNegative val="0"/>
          <c:cat>
            <c:strRef>
              <c:f>'Tableau croise dynamique'!$C$46:$C$47</c:f>
              <c:strCache>
                <c:ptCount val="1"/>
                <c:pt idx="0">
                  <c:v>Imprimante</c:v>
                </c:pt>
              </c:strCache>
            </c:strRef>
          </c:cat>
          <c:val>
            <c:numRef>
              <c:f>'Tableau croise dynamique'!$D$46:$D$47</c:f>
              <c:numCache>
                <c:formatCode>General</c:formatCode>
                <c:ptCount val="1"/>
                <c:pt idx="0">
                  <c:v>2550</c:v>
                </c:pt>
              </c:numCache>
            </c:numRef>
          </c:val>
          <c:extLst>
            <c:ext xmlns:c16="http://schemas.microsoft.com/office/drawing/2014/chart" uri="{C3380CC4-5D6E-409C-BE32-E72D297353CC}">
              <c16:uniqueId val="{00000000-F4A0-432E-94B3-37EB34E5957A}"/>
            </c:ext>
          </c:extLst>
        </c:ser>
        <c:dLbls>
          <c:showLegendKey val="0"/>
          <c:showVal val="0"/>
          <c:showCatName val="0"/>
          <c:showSerName val="0"/>
          <c:showPercent val="0"/>
          <c:showBubbleSize val="0"/>
        </c:dLbls>
        <c:gapWidth val="182"/>
        <c:axId val="500964144"/>
        <c:axId val="633653328"/>
      </c:barChart>
      <c:catAx>
        <c:axId val="50096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633653328"/>
        <c:crosses val="autoZero"/>
        <c:auto val="1"/>
        <c:lblAlgn val="ctr"/>
        <c:lblOffset val="100"/>
        <c:noMultiLvlLbl val="0"/>
      </c:catAx>
      <c:valAx>
        <c:axId val="633653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50096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Chiffre d'affaires par ville</cx:v>
        </cx:txData>
      </cx:tx>
      <cx:txPr>
        <a:bodyPr spcFirstLastPara="1" vertOverflow="ellipsis" horzOverflow="overflow" wrap="square" lIns="0" tIns="0" rIns="0" bIns="0" anchor="ctr" anchorCtr="1"/>
        <a:lstStyle/>
        <a:p>
          <a:pPr algn="ctr" rtl="0">
            <a:defRPr b="1">
              <a:solidFill>
                <a:schemeClr val="tx2">
                  <a:lumMod val="40000"/>
                  <a:lumOff val="60000"/>
                </a:schemeClr>
              </a:solidFill>
            </a:defRPr>
          </a:pPr>
          <a:r>
            <a:rPr lang="en-US" sz="1400" b="1" i="0" u="none" strike="noStrike" baseline="0">
              <a:solidFill>
                <a:schemeClr val="tx2">
                  <a:lumMod val="40000"/>
                  <a:lumOff val="60000"/>
                </a:schemeClr>
              </a:solidFill>
              <a:latin typeface="Calibri"/>
            </a:rPr>
            <a:t>Chiffre d'affaires par ville</a:t>
          </a:r>
        </a:p>
      </cx:txPr>
    </cx:title>
    <cx:plotArea>
      <cx:plotAreaRegion>
        <cx:series layoutId="regionMap" uniqueId="{00000000-D349-4D7A-A346-82C875CFBDFB}">
          <cx:tx>
            <cx:txData>
              <cx:f>_xlchart.v5.2</cx:f>
              <cx:v>Sum of Montant de ventes</cx:v>
            </cx:txData>
          </cx:tx>
          <cx:dataId val="0"/>
          <cx:layoutPr>
            <cx:geography cultureLanguage="en-US" cultureRegion="US" attribution="Powered by Bing">
              <cx:geoCache provider="{E9337A44-BEBE-4D9F-B70C-5C5E7DAFC167}">
                <cx:binary>7HrZktw4suWvyPQ8VAEgFqKtqx9AMiJy35WSXmipVIogCQJcAG7/dJ/mE+6PjadKUkkqVU23WduY
9djNfMiMAEGCcLj78XP874/L3x7N08PwYmmNHf/2uPz6Unvf/e2XX8ZH/dQ+jK/a6nFwo/voXz26
9hf38WP1+PTLh+Fhrmz5C0GY/vKoHwb/tLz8x9/hbuWTO3WPD75y9io8Dev10xiMH/9i7KdDLx4+
tJXNqtEP1aPHv768ebC+eijdyxdP8I9fb9fu6deX31318sUvP97rD899YWBpPnyAuVi+ogzFMuYJ
+vSDX74wzpafhyOBXnGJJCIC/zYef3n2+UML8/+ZFX1az8OHD8PTOMIrffr77czv1v/twKML1j/v
Xgkb+evLzMFuVI8P9sX1Uxfem+rx5YtqdOlvV6Xu+X2yi08b8Mv3RvjH33/4Arbkh2++sdOP+/d/
G/qpmdyLT8v9t9oqeUXBUIzE9Ke24vJVEiexwOSzLekfbfVPLevPDfbN9J9Y7ZvR/1TTnT68eP1U
PnzZuH+LgxFCY5Sgzw70RwdjMSIEISI//bAvz/7Nwf6JBf3cXF8n/mCor9//p5roEiKqdy8uIYj9
e+0kEok55uI3O8ifBELCsYzBVM8//Hs7/bOr+rmxvp/9g8W+H/xPMds/sc5vk9h3l//rSQxJQRFh
4g9GA99KUIx+j5i/PfQ35/pZRvnzRf3cdD+7x3cv8/8ycf15UvsKAjJwm/wTevgmr/316KcXB0zz
w9S/AiG/7eLRB0AY4FKEcAbJ6Csyeb7R59lfYcSLdACg89//+/2D+eJZP0x/ehj9ry+fIQkES8ww
TSRYPMHk5Yv56ctQnGCJZcJREsuEwkOtG7yGZSSvEiQ4SXiMmcRCwlEZXfg8RIgEt45/G0u+grhL
Z9bS2a+78/nzCxvaS1dZP/76Mn4+c91v1z2vlzGOqYBnc8EgVHBATjD++HANSBEux/+rMIWhdV+H
fKL0bi5n/HaoS5G3PPiDMRXKG8fGXeSKSx6a5ihJ5v1W+TeYsTmTkshjROj2eiF9cS2anr8dR3NV
l+seucnsyn7eci9GqwIzXTayvtqjirOMFu4u9Cyn89imgUzp1CZK6PjStPND3CfHTVEdy0a+gz1B
aupYtg17zvXdRLY2W+oWpaOOb6gY8S6ayBuzog+cjO1RstaVEvhWbu8nJ2uFE/9GFv3V2iQ3C5KH
wi2Pg4yP56F4g1ty5ENTqrodrCKdXdRsoynFc3W7GHQ2Nv1NYat1t8h5H9PtWDOXri5SU09UySuF
Ar8ng3kSxfagC42zMKO3bkUnQzLzLIn7fWTaKJvletLhx5gMZZpQc4v01VzW+zWhbd7N2qcVJU9V
y4XyFdqVlF1JvMF7VXVIi2BOe4yDcvxktJXY6UkW6RBPGW2Pu4b3imHDdutimZoW9lhOKC3n+Dgp
jgCRZ2IwqqheN6zYuSLOtoVeexqm1PXspA5NVlmnFW3rbJFJlXUCZ22B06AfMZwIND1QdzIanpLC
3fclSbVWc7lr5ZjTCSkjjhdxPSQfO8qcKnhyxAe7w1txoCyD03ay0TeFPxvKc9tFpZpjcevlLvRr
5lZx347buW/IPhLl6zHCt2WYhtQ7MMdQzV0qbQ1LH9ctSyoGZwMOWVG4j3qYLupx1Ze+rAqFq2VN
R7YuqdclUmVHSjXW623Qc3Sg3Df72BZnXbn2h2gu3ssFCTXNaNr5io75qmWdRRF/1xHSn8cLeorx
dD6Vw0c8ju5Ch+291dgetdsynWrDw+uGVy7HTXTOeHk/b/Zd59a3WxNMmvTJxbDYx7BasUs4/1DW
8WW3VKfIbVe+I5XaUHuq9bpfWbSbZXclbLKzQ7kXdj4e2NYqA8+LhumdL9q3BNe322iei62jtoZz
3LH4yFD9uhvdeWvMTZjL88429zMeco3Rrq+So3oZPzROnxRyu4yn5mldzSGJurRZy4P19sbWY1ZY
UalAYq3E7I9lJG5rPh4tcZt7OtQZ2sCtZ72dj0nfqNrEe1IOJ1quPutD/W4qcZ9Orrqga/VhmrZ7
X/N7sc3n0kSrGnTxHkt97KpyVH05XOkWt4obe2/trNOEaayGZDujk79bqb9wIbFqxePHVvJ9jO0H
KeorHzScZnEWhfreIZKZ2hxzy874Fp/Vvs9jaS/dGo5RsMdVwGfRIkrV1mWbztV2NNGQwQNPS2du
/NSdWrkeSzmYXTTTLeV126SM6BNj6oy5+Glhc6nMauDoEOlUsFjASZIfRj+frTULaizRsXalzpOl
C6os+EWww+MwrEue6F7nUR9Pu57YlLXywKoDEtPbuEpqNY9BwlGLSYqmJivZVqcabzsCfqYIBKRj
X+hjvszVocXx3sa8zTrE7+IqXLfzGKlCupwXqFB+rurTGAAeREFLFZJ0UYUPd2wr51wbUqsR07eG
Ne8o1oVazfR+deuamqmQecyXo2RcmhS74c0S1gI2h50Z03bnSxJuIrrtvPRz+m2V+l2WeXTdOlSl
/swWfP34j7MvFMSnyvX375/5ht8/XUwAjsPw9OLsoRtf7IL98ImF+HHOM074Oun3Yvg5L3+tjH/I
9r9xGH8CBf5y8Duc8B00+jbRcyh8/hwg/Axl/Y4xnud+Rgc8eRUTwAZYIi7ihCRQb31BBwSAQwJ5
NCEEkjNc8Ds6kK8kgESM4oThGCcxDH1BB+IVFVDCSYATgmKC8b8CD4gACPIDPCBJImUsCU6IgIri
e3jQRXDC1tjMOfMsEZAzBrTunOfLtmsaU9+SRtRzntBxLvdbMdbTbhR+6FUYe3MyYuRIFkdN6Y5H
Zla4UKJpH/DiXVoFXT1sgZSQloyLP3Rt0bVZQwOEwq6j4c7WnJNUzEWNFfFlVCvXV4M9osvqeGbE
kNxVFjuTotUOazr52K+qsglt1Cjqvk2tWKNRNXxMmjNr2hEyyzTLoGQQRZ1WNV3L/ehqEaXt2sTn
DfHsNea171IckrZSuF0inQ7bKLq8cGJ6koEJiMSRXW4HVIn20CRJvGQd5XQ673UbyqyYxq5PI6nR
ey1l8aG22gRFtSc0m8jsb8bSGH5m8djJtEEunM1ykuG49htZ1dqNiVftsLQtOMtGxG6c51qrthzX
NsWlJ8PO46Rqz4GD8nM2ylDetPUcsQNGJuyxWCapYhuGy+k5QGSz3+oHvNjGKsFhdjpQu4w5h4SN
05gXEUlnVNk5cwsE3nfaW3QRFRx1qtoSN6YtTdrpfF4DnfdjNQ/3Y8umcVHSejzlUZX08tB3XXNL
5NLQdKpkexpXeoIYVS3tWSEm9DCLpL4QDRPvG1vSURVsbVC6uDAvCpc1xWoNa31hqPSvu142SRp3
CaqUXWLCM11E8ftNLOWqxqXe7krJ5lnNoliQwnwI1a7vtcOqjraoAnQ2ApgcOtJtuzLumbiqhQTE
Nk7bxPZb5Pr4mFKtSTY3cwE4iAveqp7h8Tqqjeh3gOEBMLDJk4x2g3hKTLeZc8oEufYT8CanNZ0I
P3QhJk220S3pU7kUTZsl7WLKnSmEaE9cQvh8ZKNhgGxJVjJnEfiGz0a/dGVqfLlWqsa9r1I89ZLu
UL/qKAstM03WNbEp9lGf0DPK29qnpR83sFuUsHi/YETaXVOtbku1G8P1iLWALFWI+RG38zIpHvGE
qhJpPZ1aL/u3NfFrn+mwFEsqve46JciQsDRqpu0o0HEkaeAzEtnA4wlnHtuiSsNie5klQ+Nuinkr
tOptVMq0LR3uIMUIkrwNLCqSHPO1tootTXTvx0EbNbIlej1U0zxnVSvY62Se0b2c5rZQriFWgMVb
RsG1iiHHlRAqTpb+UbrelorWCAVl62rtwQem98I202W0LEul1mkFyILHtv04tG6S6doQAPoll/hm
9u3TWgxD2C98Ayi4VU2B1SSTeo8rTDMIokObGrOwJm10OT76CSU+nc2WnHalXKVydQ9uI3S13OrQ
sHMaF+usVit7nFHB2p1o27hOt3IVfT66rjxqDbxthr0nnQp+CW3muibqs7aOOpcRBiXGLsK+6dIW
AnWpIjpIqiQ1QwnhZxvX3C1GnA1owl0aCTZyOEaST6mdqmVRG2/n+ISUDGV9i9BjS4rwYAfKt5zN
WhoFZQSlauVbwPulEvUdrWs7psQyfMPgEHbnfNaVzVHJwj0C7DSq0kO1lg5kXVBqcMy6rJrg6KqZ
6prADedyUBWYAGesLMv3ZaHpGfINm6HMIXEEsbORbVouHPUqcZErd3SSxO2SEDf1/pts+ZOy9I9Z
J8YxlYRiRpI4FpAwvy1KeVz6bWN+zoutw3lBCqnw0G7ZXz8Foz8ktxhTxgTjAkNuI8/L+Kb2JQPS
YVyGOV8knAgFZyjiKfLgDCFs9Zmu0ZByUhfv5kazE7zZJGTUb93ur9fx/Dbfl+CMkGemnFPI9UAG
fL8MPcb93PO4z7lr8XES6ukt6+rxrq8sBVHhKwz5ycYCLfjDoxLEgVRIZMKQZOyHR1lbSDyaqsuN
C1WbTnRhY97gGawsfZfg06E3Uma6Jb1WAcFvOtYOWIBPy/jM53xex288xLe47VsY9/8LQvyO/fwW
IX5mkgTwPV8t9AcmST24ITx+Vci+oZCe5/1OIT2jueczCniPcQIH6AtIxK94DOyQ4MDxSsHZNyAx
ecVZzAEICpoIIUEK+4IRP4FOEksM8BInjLF/CSOiZwz4/flFDKQeFicUcYqeGa5v3Ugs/TQnJVny
oU5GxQwDwmABMqUYx3innbtzPrpaSPlQMGpVM1fvF2quGKVnY6HfUAiBWWvLoCou8qqcPgK11CjW
UZPyODoGJ7xmkBMOLkznC0MnQJsUKUtCKsdpzqYlvhgJfGJdWLJ+QksmtkAVr6p5xzX6UMa0So2V
i1qG4oJtfMoM0B/Z5kaaRna+JqFv8q6yY1ZO9qCRf/De0pwNhU67xq6AIMOcr810C+zth36rLoJJ
AGVFm1q28u26JWL3TNUDjYSqdJrCla/RnPvC2BQVU6+G2h/JpmQ7hMMFD/GgthlPCoqzOeOTH4+2
pb4vmMlYmMe0HLoPpmAAgsv2ic/1pKAo10rOpNSqixg9WteQu5jEijdRnYkouY3k5FOyTu6kbFut
alboHa07lgJ18DjV66VJ4km52ZIsUFQ9eCOrtB36GmAIAtD87P/Iye0YtLyzvuc4nYyNDrGAdBVs
PCvckeiw4AErUdZTuq0aEOYQNW/IVBuvjOe4V17rtESiPLRSn1ZTdIE9gZTbFieJXnMRIrrj2xKy
sYyODT1tXV+nSTCl2kJ3280DVYNNnPLmmeLbomvUJM3eR3hMZQ8YwBR6SDeB67xrZgu4FRCBH8pZ
DQW/0wWpj7reA3OYUJ32CMgMnACCUZsnr9fBdXm5eKp6s3VXRTG1uwLTI8eB4CqoqVUVyWNKOKAq
y8+2YhnSYq131ZpouH8Te+Cj5mZUpB0S8k6jJtovvqMZ0Cu3odHDqQ7aHm2bkVk0jIdlZukWyXRC
ZVp3c6T6mkNV0SADKyPHUbRNRi20xWmvk7c2HuSu7mI7KNmyO/hvO4EMKAGqbctbpukbMSWP9Tqu
yji2a0fj1Fp42HZBnALii6ioX7ZME3kENx3SGlctbKMwaSNik4bR5bSs1pz3Mc5JBaUNFCTd2f/E
9OdGhh9iuhCQrCEA/3lM/7HJ4HNQ/zLx96DOAHskjIOnEkowpOrfgzphIBSA0sqweNYMvq38nxV1
YHmwEIRyBLO+RHX5ChEQBRIGyYDKBP1LUZ3Ff8RgCKQQjCUD4YKC438f1Xvmqrl2wN9DHSpV6dY2
YwtymWmCVQj7UVla01SEFecLm5ocwDvPWFufQ5neAagAEM5jTXcYhTidavSWt7TPfFUAZUWj60TO
V1OYoATv9AAJQMZ7LjaT1YRxVQCwhQgct9m8FET5mg7XLSZDlkCUOl3a+R5bDVyuCPIw9AircioO
hYVaJAYOOMWYnFc9EM3DMAJ1Pppz06w7NuMtd01D8qRr83Izp0PUn8yR3TnePQsA/I7UfQqpoFcR
L08gbU1qpTFEnTddS8+iEpbeduXlyuOjvkDnEVrOTL2i3aaP1mWBYtU00y4kGHgM1z2VmF1WdpBK
G5TxXu5BJtpFQEq3jTGp3sqDnspD5+ih6uy+6aAQpSe+WeqsIOiy9+ykSObnhhKSRdSeJKY6lQl5
3ZP44MMUKz9WV6KGAm7tzL6J5/tudgfhoyrziTWpCf6troAWH8K0ZQSIY0/poOz8rNTEBkq9mB8D
zeqzQkaNAhR4uVj5OlrlkZm6PcZQg69Tt+T9bDlMY91Oo+QRQWBMS0yvxgY9OQjYqWvt26Xth70w
eD0hvj1aygB874qntOn65pi0pjrqaOXTZKhrSFvVtZPLqEQ/9HkQ20OyLTnXkOrqdlETDjZbejmn
G4aaSY97psm1Fezc9sVp0pCLgo7vE07VjPbuxi51aqK7oSmfhEQpsrCOZvxoe3MKuooaUXtUepo3
Kz8r8HRadvrNZpdzFEV3eGQ3BtiSnajiRC1QnQM/gs9R7d/zhe/l0GYa+9RZP+8WuLGKpmlHJnEe
B72POH+MinI3ieYUNy7V3CHVYp/Vsshrsl05AmHXm1a109xDcRsetmnZTesIHDOIhXdyabusC+db
vdwWm7muDJw/t3XZsAFjMBOLjuUEvnI9tA1UsbF9B41XD1jQfbMRA2x7vQuLS0EuULP3u0WDGNQw
x54R2PMqyEVfQaRn7ApoLGBhQLwRpb3dONz2EdzNZ9ZJucdzkw1Vv6liDoMS8XY8RYXNyHY3BXQ2
tUAlo+IIFES6p0OL85rx/WrfIGved+V2mwzDpbfVhx6OS86xiHekfTf27hR39GbkdakSocudsPq2
XRx4CD1EGFQpEkAFjFxasOVEi3ZUQNDpbE7iFagc8xHF9RUUQkUKIo7NJ2zzOrTXi0X7Iqp3hd7S
Aji/Gl3w7rpehnY3kKY6iIFcgwj0ZmT4kQxc7ydfRDnVfQz0l+sVxlMWJD1KCILcvTR1Pk8z7EMF
BFKRaKoaabocIxDTdCJBs9maWzniq5HgVS2sOLbNeoTi+Loswmk8j5cTioGF6KNe2XJe03bDKVuL
dF3jY9/296Ct1EsaWA+L6ONSaaqBfowLeiYK/daTaS/JDebhtAdQFdOrrsmail/1Bb30a3ToyuSK
VORxikGVbasbpLuT2OBGDUK/bo24GPh8Ild8LFt6vA7dUeTim8r0AKVx5Y/K4D9iOLtHgFcOTVlO
iizjfZ34TfV9+9hsfoTqLo7TuI6g2hP8mYMy8TFb3WXF6xzHcd5Q08MLLgEom8YAHl71zsniQLpO
KlRFRR4k71NofBvU2Ccf5toAYKqLHVp1u9cg3MZQQat+Lm9XI8+5KwGXIUn2Q9K/KWWTLvVsDmCl
Yrd0FdCOVXRBqvp+XJsFlJluyaC2KZWo6vENjdh0pyOzt8Dv5aB82YuF0puNs7Mw60YREOBOG0oX
YDmmfTJNXC1NCzLMsB2jursISztmdR+W06D7NifBxUpjcVwvLB/FYzOKE2sGnE9dl47EHdtYXm8g
IK0Uth+v18kKaic2XMm1aNSM/TtRmNPOdI98rvaFCKcJkqfNbPK20V0K7JtNQzKfRnS9gBzr0nia
jztJNhW26GPQba94605qOU+qoNU5xvjS+QqocvlkO1Bs2wGezXeiNHBeYIOLwjxpHNI68k5Vq7zr
BDBWhcgdCbPyMtoHrl/LuH9Y5/lkscNNb1ynOtcowWarHFQ04+TUELmjMSR3NuJVqo2+b6P+zLVb
lTU9eXSgxtleHMqwHsXCANnEQGQFk6FiPPMjOUENP9QjfQD3l2qu+8fCldlodR5AEdPDBgq6qB+2
uLnTtr/gA/poVw9qol6ao8XjnFYNBn7ZBgXBkIDj0Y+bB4rdD3kydEy1EFGrhN0ulFcQSbuTuvS5
Gxkw4J7FymjfQ85hd02oQ+b7BGcoSsrL5wI5ddKPWdySW/SctBbC6kPQNN4V0ULOkg4U9akFvDz1
BU+7LnBVTzVwY2Xo0imOP4zLIo8FX/JygIg4CMPzsbL6kFiQKgOx1RFns09DJOa0IsKopqob1YkS
gftuQf0PpP4RUnMO/B7/S5LkC6B+ce0+DP/9X2V42r4F5V/v8AVZ41dIEOi5oQn9RB3+DqsZBuAM
vcNA5wFU/g5WMw4pDHrpGMYCCsNvYTXMAPkNtDFERcLIv0KWCP6Hfptnmgb4N2iiBG1PPPf8fEuW
hLbshd4oyrtN7NvCXc1z9KY0nVPUthdV172NuzVl9fhQWnxo1vis7DeWg9D+SBP3UONl3y06j3up
yBiOKLt9/lOzO5aMNwO/IrpSBDy5TspdWRa7whXnsQ7Q7FDv2hYqSGgdaXogWka5b3SsFjneNPZZ
Z9ZpHANpY0O6xN2ebfcW4UtW2yNNExWBcxqAXP3gd6i9D7xTU+Cp0W06bm/rKN4tIuxcFQHIBdqj
LB87ehf1z/j97SaXtNpkDgoR+MubGbL6iuZs6HTqgDGZoWUlAZxQtiK3BXQOxCEra5Emy1lD190c
7lZAjn5kCgiKFbsUbwOI4fhkHftDC/U/H9iJ6ScFhVSO9Xo21TZdy+nEuO26wWeQRJTsbj0EKAmB
yoHGYObLFlSN0bozOYbjpZanW89AGdlORkDGWoxqgyDHSnqCIeglLd0LCIKFBkwazHHVuXRAtWpC
l4f1SsN7UeDuOwickGVPAo5PE12qjsz7rseQY+qT0KDMNUAno/5A4y5d8Xw29h2gR57PJToffHEF
7UiT748GiNDQgAANaA9+va/W6aNnDVDuNgWdAraappVI9mN/rtfiaAIWN0b4tZuXlGzlMYNgVVu6
qy1OVwN71eu0SC6tGdMekkUvorsFeh6AXt61uj020AuUOHzggNI1IYr7x7XhR6yqd8bexrQ92yAB
+UFkEdRWUQeizXjVotuFlefNFBQRZcY5KHFi2Q8AKZozwNdwWHhaVjQDLfUUm3C2xsN+JRfI6P02
janb5lNip/d92JkN0EWLD6g45cIeCCTIKVrfLUt9VkDWNMma+dKmpIfl4jUN5bIbl3GXrAlSDd2U
s/eIgOUh77brfEohOa7hwYEes6196iGJR9t5Alk6tvWlxIPCKwdGaDnvW+B8Qgw6dfnAJT9IyO1W
12cRg7JkerNAyof2fkD9r2XVZwJdoeU2sq+38lKwQgF/kxroNYrQGz/Hqm/eTM21BOVxRXdtMqb1
etW1QNyBKszfsOntKknW+BhWca1BWKvHt9BbZZYIlL8PFvE89uB4RaV09waUugMj1b2ZocnMz8k1
sK6nazWoboVePD2f1yDItjbewal/U8TDmG0AbcrW7garQXlqD3quTqA3ILe1eGqrMYeOn3SBIkFP
66mBbrooKi7L6qqr8OnIaca4lbmGjGyNzwZqrssZKRS5nZT8ptgqvOOOz4rODxT+TPw5hgh0WnKe
I1NaYN/An7uieAea4wrJHJ3Erc9x118G6R9mbk6Jaw4QQ2JwBuSOoIeIZNCRtUfY5dPUHM20OlmQ
VlPkVRemnfXHooAgJCNAKvRhQ9ArwG563aQ+vqNUZt3GspEstwkQrsqyLQWVR9HSgMpGlSvXXUHv
W+f22D2OoLqNCKduiKDsvB84V6XAauS3WxH2sgZtftA6X7f7MbQ77PWatej/sHdmy5Hq6BZ+InWA
QAhuGXJ02unZ5RvCrioziEGAEIK3Oc9yXuws9nC2y7vaFd192zcd0VW7rITU8Otf31r28Ieib0Ov
a14hXZ5oYXY81zKecH8TxZQ0Y5cQt/Z+r8F6P5ZF8dxxfcHbYoy6yj1087pHjVlYOEM8ok8NMa+9
9pipN54u9lPOkgx4lzOWcYVLUM6dJnR7awM5Zi+JupMeOwQpWrMV7bqDq/Ld0pkHVqBSVB25JM50
URBvM3jtTjF6GKo51hZeRIXNX8wH3S543hJFaOWVt8adYyKXKKPpmUwoH/164/BxX1g5sAD9rSis
0FgmC4WTPuhBJyXxtv7snL0UYFsGldrL8BW8uaxA3/23BseupTcsNVfcb9cPEWsN0TiQSQ0OS1Zt
XEOj7PXbVLvoF51yJeK541sv72KC/zLvdOwDumpwHxT15VLdgi3dG7OgUwLBW4BmcFhoqwefvfKi
j7XXhlaa7g22A/TEHpfCC1srj93szaXfKM3jRY8ROKpubsA7jccmkBFf2muR6gdnItv1POvPtKzb
sFPkEY1gaPFD7I5zpPj8kA3muRMyDLrqscqDM3rEGz/3AZaUyVKbiE1XdfBlxNW6welay/EoDLb1
oYiK2hzbxqrwwTnaUl993j2m9ptEG6Odxl1vW+HSqbtGfjFqedJ5tclFcWtP83aA7uzSPGkmctA2
VNzOikv50tE+Ccx8ciBTtPaqzhaQBVgUzC+D9tCNt0Z0uElc4Bjg+pW61W5gLW70flw1CjuvG9Zs
irCbTR3ayZlzUQonnHqFy9ocoZkVC1zoaF6HQZXt1wt4U2ShIU5YV8tz0QU43BSkFhPXYu0rlGfD
xsSZUPFPcl+W00anQ8JB8qFgONTSbDizQr9z4jnLTrorQrUwiN5e7PXB5YxFGZRqW6UyGtNpYwfB
prLs+/WCzVmwr3GoS1OGPaa/sN1oEdVuyVVC6F0rxkSp5dBAWEk7tZfiO2+CSNnTddFd9WUPpUnT
qxkHm9QqXtLiysnSb/6CTaj2+Unbw0MxL0ctmhjgG4V8IJ9w51oiXuRRPusdcJpDk3uxcVnUKROj
4RUxUoH36zc4EqKpFxFHeSH1M84Rt8PUqvzIp+Up6I64GYSdd5FBzCmNCGdFNo3uNuXcbpjdxg6n
SY9u56L6Y7B0sV0PSVULyAxZnDvD/Vh9adZmFctjH0NXzo3n4jKKOsca0My0+4PXyXDJ3lZqSebl
oUWrw7deq668yVoV03mIKunviT4Nvh0VukjMbEWu/GrPJEqL+sQDhtouDy3f7A2TO13yzbJWWeTJ
cq6z2ovqyQ3H3gP3sKWjOlQMFV66jtZuc3Gh5ywSLNjKxT0Mfpb4rX/o7D5G9boddvVo0Dopzp62
93aRnypfRHU7HF1MDM2L/dLNkcMKFbKZeyGzrETPy7Mh2F/wt3J4yVt1NSz5wVp3LTSEwjHvX7zS
eh1kHzvYGv3evQhadmlzLL6Kl3ExYw/nrL2bB/9SL6g7pwqbpofOkHoe8jYejLcfa3ozcTeeen2X
6wagQ/XVDGU0wvEUtjXfoikEKHxG4yVgpzJFK2REATw3uPVnxoqFCKIgs3aO31wQXycT7/e8q/ZN
rg9LgO2yDfSLon4y2sHtfy97Hy97f2jiHi49/1w/+X/L11/E5Lt/9+clz/oHTJ5YkhAuPI8H3jv5
xPpHACODxazVbQGp5k9PRfAPB6LJ+lf48wBo3l+XPGjlsF8Eqy0HSjrzvX/lkueu19ePijjukBBi
wERy7q8f4v0lL/csgbsFWudT8ah7AFmOZDdkHIPIqYFFGjeWfepAZBjibvL0fiqDNkIH/+wK5+g5
vRWTMadQaBl0U3gyIpH1m7x2njsXvfGFWicrBTjkaFcdOlc/pQUwbzdF871qb/ugOw0W3AQLToRD
2/pFUk2g3Ignd3Ntj6EB+dyK5ba0lA5Jrh8Dmm79lj8GrL93qvm6HKyd6Usat9qcTaWOMme7JvVl
kts9fxC6ve9klr9WaWtt626+X/zqu3b5t2zoQHfi3KPoi2cGimfroXAdsigItJe0hSjDqjG3lU1v
U0bs2GTu80TcDJYD31wPrj3HprZuOgdaZ0O9fOeMQxo1BKgcW1qI6p2ORgfdN2j8eQz0VO+5iwNJ
BkZC9aizqGtMsx2AsaBitVFxefYG1OdLWbnPLV5sODP23VgdMCyIuxF1srsMgmux6gzN2nn/Jn3v
amXMwtornmTaq6tKmxfOlQujyozixeXP0wgXhM9RTfBGo5xM82r9kOnXoBZvNaC4KPO7bQVyDfs5
bofG7rArV+Syca2bycnwKhz1Am7S4Navd7guX6Bvuid+EZUoRkLLHe7LfOkP0zSdG7si0NXA46OG
zCO9qOtyao7SIXQXtEW3zRRK42a8TCd+dOW0ranUYU7RCn5Myxm3ZohKvrVfRudy6e3N2Nc8HAtX
hyPRFyQr7xdTfOF2c1J+9Q2idOwu6Kb6sDo4eQ0Natn3BX/idLxYyjKxmDp2ZXUUkzExKprtMOR+
2Do8KgVmSDu7FmCFZ1Qi9aabpm3gCR1iX32VlKEaUBsi6LUj8mjyyikssgDGh8GKs0xFXDQXygXJ
0Dqvs1PEnUc3/tTtLCBavGPbYrDC1ACe7NL2rpo4HnPAZ99brj5mvFvfQvU9UMyOKLSU3h4PM4Bf
yET0Tpe1E6bczpIxo1ejwPfb1Oo2H5s7ja6e5S5Ogk3m3LIug0ZIj5POcFBOGwmrke7KHKjm8qUf
JrBhQ465VpEDkwMF/F8sgJHZkykdqE3usLNwEIVU6zTMRHBrLcGF68m7PscfWCh8hZVtwUS8NkWd
R4tTnpnV4zBGSXaucaID0EIp3Y9t5DLzWo5+jiO4sy9tNr8CqkbR3LBHqaHeaFncUWa8HfBcXFoh
qgmVodW+6my0CnIIFbk4CGFwVyXotaRE7DXp5+O0anUNRDs3dVpIcuY7sdxrwUdA0RD42lXp69f2
6bKqf8YBeyEgCPKC7CcIhIKOZ0DjIkxX7XBYVURv1RNLK7sdVoXRhtSooSjF2ao+ykB/GVY90hm9
Im4hUYpyeTSQLBvd0GiAiCmd3kG3xNnBxfTAIXPyqsYXYMfBqn+iMjpSZz4PqzIq3WMJobQw7Taw
2C6DgJpBSK1JVkXpKq1qQCaZvy1WyVU20F4hwoqp/q5XVbZY9dllVWqtHL4aKLe9r089pNyup/sK
0m6Zc3DmEHubB7MqvxMQ5rBvyUF5ZRc6kIdtyMQZrVEKCLkhvTySubrgEJTbLLUTCLML2v9g5Ofy
cljV54KIOaYQpEuJkiotcWXGVNg19mQDY4Z+zYbACydI2oO1LBe1Nn0su6G/MavybUvo7mRVwzW3
PRCfYxU3q1bul34XT6t+7vsgjiCorxxoOOeoNkeI7VDjnchLPWdTrkp8pv02YQGomBk4OLBy8W2c
ausedhqYhKjbJmNN6hDAys3o5vdVUJ7rsktxe3F5KH20PAbroZzRKJyCCmKdTZKOWo9TNYB/t8YL
yjEhIBhluJgt+6oTu66cQZxweV124k1aJGnLdDurCX4/wAaxYvNlkY/Q2PruMGfYkGEtkKvuvic2
nFGLjS92AIHFpjdlzbvKgYfKGFR84hKH283A+Cue7uQ12a226y6y+CgO08CyjXIp3VQsw8XBzeY9
LmNBVA3z96argb5YI0iwBqJZXeYq5KO9hEPRneGCFDuvHM1Z+Eu21R2LpiCnkGr8u0zP51QTOxoK
2A3mGX3/mvOdXBwWsW7GZXYe3pgtsOw70US8lSWas/als9hjbKSHs4x11zxLn/9bMv6zkhF99H9e
Mu5eYLE/vcxt/14Y+LNqxD/9o2pE5oSNvjva75z/Xh/+P3SDvwIAjLIQWCyHNvBj4QirDRIP4NSx
oBI4PxSOjHpwyKyBCQB2gn/JbuNS/KQPheMK9qx+XNuF7fe3wvIdkVynRW/1/jhgHyn9TdfQu8XJ
MZHB38M75hDwCGDC0YGA3u204dJA3FW6CDHTYJNdLZPSG9FV5HfEAXLv2dbzhGsWMD/Q3TaTFOSX
HRl36ePcTHvRLtvMgpnNtdEzJOcAK8JBi3DBzdgl17AsQZm00VoXyoaYt+yZlR4bMEFkyvfM6Y5p
5269gB/00t9oVyTQT78BMN60rX298ofWkN7YmXdQpjg0utrSjtzh+Y9Cs4Qu/V6jszznkwxFU7wO
g9o5eFg9BiigJnVn7GVZO2joPo7izlJoCg1UbmTWoFsoPLhY4RhKA3M/L2UVEQZgpQtQI5RDe5v5
2U03jXGB7smpmR1Af7aXCF2h4+PA19fjOpyjwSaMqk4FWHRUFuU9brm3Xsr2g52RRE/+GzO9QR+I
VdD2p/Q8SXQ0RJ2jqMjFFNkwFG5VgI2nlfCxNHjKQli3ulw4WjAW/DPD/Fpg4qBLZ6EzU8kx6m3Y
BQO/IiGuvYeSoUk/ZwatTrtEc9GBRW9U55n3T3PplKikmreCBruqUxRIIpf7pvVh+cxIG5dTCmMn
2BW8HmVAFrnmsrfIaZrcvQWD0cmS/JRTTnaoebI7ImzvvnZcEKlBYx5tx7zZ7nCV8WrecFnu2v5+
abAP61oWB2+WGerN7rmXEmO4fkTU1MUgMuNmGC/SoX5IM7UtgrzdpKMGl6Bx+2ZiupBCfK1LmIN6
O98xAu0Z8NthaNW+p9REorXQVi8nHrHGpyEfJMdr9G6KMTg5rf1WSLPvCsi2RHQoyL10DB2hr6W1
4sC2eOqa1NkUTdVdlDyfL2x4wxPs+s1r57qXGUet0mUdym5e36ReeYBGCC7M+04WsR979ujLAf+F
k/roVxFo5pnz0Gs+gTmRJJT4jsNC9yfVTPdds2YdMbAiTjIYEqcKkFWvYs8XV9JqzkoU57YZT0MO
O1DjhJrKb4OFVo+y90wVuwwK1ZSSEzgIKDzVNs/S8+jYF6Mab0rib2XmXlWZvYH/AWfvel9x02Rp
VeTxbk/L9kh4iR5VtasKLMI827JsPvd+tl/yPpmNf4JjfGsPHJKFsxtZsfeXKpmIui4EqsRsxA1L
2ddolOCn97j2mFO6WqOYF6eduPRztRc+xLGqPRXCbJoh+AIUcKPm/DCl1SYo1DGnMlpMBugsvUKV
t4Px55BxoKXSn8JUOjurXnD9zI8+hfrj1m9eS7/Xyr8uG/FA0Lw0rY1WHvC6ZX4K4EJymH+b+0ts
enbNyvFidt2otfm5yw04IGtHDNAxFewd3Czmct3WOoqDP9hnOTlih4sEQeOXSe+qYkbCN5i789rw
f0hV89xr937IuZ1MxrNx403BtHjp8kh8+55QsUJ6yx4EVRmyosDHhOqRds2hgwfm0PvtQc/1be96
wZXoAv960rSCdlWnW1ySr+ZJpVvt1BvlySyBZenNBuue6AGt5Wm6p4V1MfX8lPFRH10P38uYZhcD
CuqTKPwnNkK+6iCphBBA1qY6idVkznyhV9PssZC2/RJWwouDfHnE1bgNW/DJQBR05BLc4QSIFldX
wHfSCkxxnj/CZ7f1B5XkQ3BV1OVO593ZpD7uF1KsPeC44cuz6/gXVq8ffGUd1Dz3ibvYU9j05tXv
4HOhyKYIC8G3BQdInavgpSvEtkuXuDEpVBMzXWWzvS/9eQvOeI7cWVxkvnM/N+NzSYqtmCXWT909
5zJHb3PG1cwBty8pEgXg8kR/ru6/KVvBSEKL8a3ohyUehAqA1qSJXtjOF989MzSRsyiccumGEQai
03LuqtpNgXb5Lx6Z0PerVLuZeP3ABe65vWhg0oMnOs5d2N1GnNgQOornmed1TNXE4nd1xB9GlfcB
GfDL/u1EhqUB7UFm2ysi8KGVs0x1Xwkn04mz6W/Nrt2mF+WlPAAyPHv3n48FyODj4f/DUCs68O7w
97DXFZ6Loap9frZ37Eac5SHffj7IT0xPLkZx4a0CBgHryPop3o2SzkY3svBhIejQHg3bU6qTvg5B
lWUimpCaEf1nA/prs+zdgB4cAkx5fIQDIOTVZgJhK8PyDdbaOk+WF0ifnw/4d3D5hwf0P3xjOUN/
a5Z4QDLDSG/ZJhy1n/3iqdYf8qPnBYNQF74X+F0cvtLb7x9KdMz3OVunRbDNVyipghgifjEIhXvn
s1F+KxffvbqApAUQwnRM6La88w40oQlEkjjbuVEVZ0kdgZgIg21/CadHiLtIRA407qO3h3/jjf71
sB/bmSD4HIjt65RBwyot3RBq/+cj/OJ1Oh9gcyLHylpkMCY221Xtg6ygsV5/PoT78zE4rFRYxuDt
P4yBRb4gugNP8TRHPARjEYHyiNuQRm5kX4gd38gNpLAwiOxLfRg3OhnjNKRhtzn0oRWjiD6QfZoE
cRbvnp7b8IiNLbz99vmn/NWH/LBYHLm0xGUewlcsFvXzs6ZoyjS7zwf5+bT6602sK+jdtHIzxpsF
CT84ACPKYHsK6wISavL5KD9dh/SvUT5sNKiBZj2meN/c0GRy7cjyf7///p6G+JPN+VcjfFiEirRF
bxSWx2Ldphm+0yyIP3+Gz78OQGU/vqm6WdzM4wTzMr9JmypkCLqR3vnzQT5/DAgXPw4yNTMQHBja
EheWn4By6J2/2kk+/8YR9PTjEK3JugBu6zGB+kWAzpCwQTUl/6NvnK7mlPfzCqUdwNdgfVsTKurh
WLnyF3v7b1vN3/ZdD54YC4exi2PsxyHceiYe7lojzsh0S6N+3w2hPHsRDPUxueyP1ZGd+sREXxC1
tFvu1Yk+kvN49H7xpD99n+8+xof3uSCKpZQtVhCYz1yGUApz0CDWvzP73o3yoSAIsmnIh2Vdpwh8
sKyoIC+8/P755Fsn12cv9MMqVXlvCuND4x+9dluBM9LIHIBK8ItR1s31s2E+TA1VjLMYCZYqC8Fc
xGD5sO/OiYlpdNXi//DQxXaMRkf0CjwhCrAz46QL2wh7U5Rv/FiFkFEi9NQjmDKSPjq8BIcs8nY0
Vpfor4Z5eC1+Mdl+8SWztTR8t03SkdAJlQu+5DzWcI7GpkmgRHz+ZtYH/+TFsPX7eTeIW0+0a02u
E52+EH5w7duCI6ks6edTZ0OqLv6dzeavOcU+fN9zJzIp0StN3CZNHPRVK/KLquWn29m7ET581VC3
uiDIsJ35DTrZLrudS3P4/KX9fNIikwbSL/5nTcd7/9LsyiAEp7YApuBW5MJ6WhWnXu//s0E+PMeS
694CdYrVRxH5JjpEMaCZ9m/tJIAxUF4FDocy/eOjuLQcYHHDKL6OrZcaHiu4mP8Ayf+1g/LdIOtX
9m6SkXQuaguSaTI7VmwjYi2nvziK12nzYRozVFDoCCKf2YVl8McR0IrqK2NrlSjYKjZOA6BFkybU
uX5gPqSN0nYTO2j+6zlFB+JvntPfEikxMf55A3xF5N/lGf+NnFj3rr964HCQYtVQRJfAfxpgMvxJ
yFv/gN8Ul0J8gx974P4/kD7gOStZ4Xk2lJz38ATySh26GkV/J+7/jN06/z5DPguk/Ak6gSv76owF
vo87KsM476cq1Zw4fkmG5Lf4JL8r7SvHV2wPx/KfEUoEShXgh1EFbEtTKu79VLWx9PpHgdtajM6l
48RI86m3YNBSgOqZFkeBhA8B9LFBOlPZZN1uEZ39gDbv9MTU7DwCcoVGKriEDi1MnZ+dksfa9aty
77hpfskdNC7DCokCQCxblyferFN0Utk8IweAaUtEbZF2N9RvFwjffs++St/3Ydm3ZisD1dCi7qrU
otIodfvsoHsHeOg8E1jUzSJAfelmHJ78OvceJ5UjqI5QSbfrzwT0KCUFzgWbJHjbueR3y7Ksb6B7
spBVAFN+kE7ILxEzfEEe8aU6/S2N6rfZ9d8Ajz/S394FcTCUBZ8tvPql+d//+YnstP67v5YcZBmE
qMF9AsBoLWr/WHFQnfia62H5uJIi0m3FmN7hSkjTWFeW5a4L8v2CQ7IqYmMD9CB+D4f9F1Zc8JMl
B1OMZbnrkkPqjvuhJICft5p6gjqH2RNATsj6/a6jSDZyAMk3YAZnYrbO/G0RCFz4zdPWQwCGYbRv
YrX4MWIlYCG8a7u7NUfSb9LNmgQRiHOL5AiGw7ODvbKD1yRFMGLp7JHqubHkkvgdHM9U7Q3iE/Im
tpvDUhiEwT0htgp+t3CEqc0Lnlgp4s6qYhGcBoW7hZ1eAxZC8IGTXvHlHhTN0W6aI7Mv84U+gwuK
VInAIMAHq/NNhp6GE2byQ98WW9LWJxS7PMqyZVd6xU2tXiWkFIOAtDx1b/A5SiA5YNtbFgCZh+t6
Oab1F49tK4rAhbm44sa9rz15KCfAMMqnC6Ao9wwzTGyzGo3d+r4onmxx7cMIYfhyt/oEem3tClIi
s/Z2dANYLQHS83KT04xEaOVDZK7Rjaeb1meblMIY18K2kXlXFBaLTiEvRO7hs42Az1+y6WgT9EF5
ujVAtnJcSrOxXj2oGwNHpScv8wBIawArsIj1DBRb3PW9e0MCd5vm+tsA81zXIVbFI0lQk+t0WLZN
24DcJCc7uC+QfJkaN6rJPbXuiswkK4odZBIgeLnxymZT5niO5m4Q88NY1SfIHSFSW3eLBBZcAtjy
goOjx3g0JpoydeTZPTPTF4IkDCn0ic3TXYHIj95ykQTrbMYC0U4j7CzNda2mMSzbejfkKXBT8dUA
+GqVemghCeSQfuQS+NFcesc2mBOZZkeJH7ooFovM3RA00gUBHULlzpMQMwRi36D8HOcyDcXsviKD
FppPmZRcnWxSHovBjppqitrcvTc5tPvBGuNaA7dRZI9LOlIE7SGheo0Z9W6cEsnFmFotCGgYMszQ
hqQWR8Omm0HC8aEyZODp7E14QaJ9H4bYSz5BWkKu0lzGrXMu/SnmA4l9LBxaJNM4HVRwkbcMVkY7
6fMdD+BqnGlcTBTiIqgo/2Cbx6rvgfHCsAg7ica1vVI4fuodYW8ITk0aAGPd8rKYJZKZFTM1IWnk
LpegPALrdsE8QcoJ8mPqrZbzwbFQ+LEutDg+2xQ3VQb7+bNf2Egt3PpBlixcJTNHuC20sjaNGx8u
r8JO9w2yTEdNAVyDiJ7OdmclgxyOAceKgEhHKSwCAJLbNoUajYXEe6SSbCgZjhq6lmjqy1mB7koV
MlARIFGW0DiLmzLQCSdvcpijHmugdQ5dOsZU+uBUtmOf7WlPw8CwDWyqcGzA7l8fC7qze2hxYNkD
xNbSVZbcIyIO+PClpR9sciXZjPl4U0P4dtGazV9aECGyw1VRBFcVdyILdrCMDMhoFFHQynBaXW2i
CxdGQ+ovt820m4Bd4nd7YO8bjy6+JbPg2T25HclDSfOwypaQ4V/0zjeLHiEtXWYwgPfDvQtrGdbA
xhsYTNJXWTGdFrjIe/seZUXE3Hvfq7GIj7l70RKyD9Qc6eDawh8KQF+UzbFfngcPsoY+lUsLbv1a
Z3Xo8AVpMkhDztGwBG7oGSRDCDCQZR0iIg/JA8G2dopbA60py+W5NBb4PzCNlEO5h7uuta8I4o1s
fUD+4gH2+jBfEFG7wB42srtB9beBC60RmgaCElo8RDuVB4/WELPXyJv5RuAgmKDslzz02hRZECfY
FmIG6JM++N33rNwhrjlyGlD8tbvz2G1gtkDqyohx0AbTLamgsc0XYyZfkYXShHXevqpm2GhYKMq5
hJtvOEnfSejUxs2Sb6xiO6RPbn3hdTd1O+3dlu0C8AzKD/aL/dLBfQsUK5yC/Yg0OrdF+rTE/OjN
ccgkOpk34/zklrCiAEurEe0X2Grn4kzQ+J04pX2uCL0JECcVlTasEiXiLJCwrFgWzQqqN8u8jTN1
b4O4qQdfw6mMIB4uwXshyBPeCqOKS7+5ktI8IystTMlBDjKG8e6RpKtDpLuf+xx2TjrsZl2sJ99y
NCL/kmr2AmqYRLLTG1CALOyXGdgoGKiWB3vln8f+6MjgsmmLg84e6nGEOaP+NjrBtS0ZrH7eF+ID
lJt0TCrgCSPZpCutBmDXR+PQUjvYvyPAapGZH7r2i0CGdwFmvQmasLPqTTPvC862KahjI6+wauFa
2Y5W81CZatdg2k0KlJaFBI7pGjnz18Yuktm+QMSkEy7lwVe3vtmW7pcy0y81KluqsHcvJiZZ/mDZ
eByCJL2KbPrS+26LaQPACr6pFk4utG5arAP1QPmXag1U77PENNmuz+QezkiEK2EvhuHde3XUm4td
xJqxY22o/eAVNEKcTKREu6OVOGq7LXFuwX+JNmM+ldjcrpX6KuGlh5FlMwTL1hLIgoYrjKBuUPRM
CHYQxNKO8nZAGIeHNHsbGp5brkxyA5eRvXVJ9gV1O27GDB2FNLYDcQ+v0WmmiJ4YltCtsq8OKWFC
KtlVi0LGs4G0+NkDNogz0kJuMg4zj3FuZwA2lvG3i5vi7KXwDcJKVteYU16BsNMSNbw9hM5809In
CKI7BQ3XCh69qtj06xM4T/CkIHUL+zIPV59mb5y9GeFLQO42WdYESesCmZ1fLRz9IiDnIjiKGgkv
ElYF28cWYT8oiNMMmfLD01g/iOIC1wjsd1WS5lvuHidr42DCgUBEKHUOA7L/3C5W0jhHo+uLLn22
M1jYtHBi4OJfkFSfgYvIO/PmIHfFy0d4uRAD79lbxEgltll2SuGR5/TRcrElA9ZQVpdYqooDWyN8
XMFJpxKJSJmGnphBu8nwXV8uka/7C+lXyAyekQbae9vKkXvgJ9Hk0rOqe7AA3dpGvpVedZz75iYr
2wsEqZ3yDvSLC/9dn14UNoXFP9hJ5GrRHMnfnb7E78U6m+nr0kGJN9h0GU+UN99ZvX1CQDbyv77a
9BoFKSxTQOLdK4/dpKAHyYIk3ByOHIkY7wtEnEfE9vadsi+QxfaNop/tIow7kPllm+F3JQT2WzWp
B2RvoOGB1+7hVxy0ef/KphluK5lu3eD7THjYSL8JZTpdTrr/TuH8I8Gtvdy0jfvGc7hcSMUf5rZ+
xS9SQl49JAz8FoKz53lHRBU8U5qdaEn3lLQoIwbnshbkiujKilIPms2YumChnAUfi/EUnFSKqIMA
2LDet0CsGiFiUIpxZo/Hthc3qMJubZ5tgpRcOs58cMduUyP7uNTBdqrFvgdBDfAg3YteIOWghJnr
JqNO3Gv77BdV0uNaHsPjg8nsI3o/mxDLYUno9s5USuwvgHlSRKJFne8NX1s7HxKSFwkSMsZtS/BZ
8uCtdf2jRcw9fEmHDpW4McBmHL01rD8o275aCmTMkualJuNal5qwVN2uS/Ea9YsHr4Jycb3tv3BE
xysewZw8UpwXA34jhcHm4ZwlIpGL1sd512wVbGfBVG4776VORYJwaySJ4NgICgSo6Y1N+L1wATb7
Gaaf2qR4jR27yWGWIPKrYch5VV3sg1a17HpfIBOTqYu+ypIOCC3amyBHsQkB60R48TdefNXAy922
iqc5jzMKz2fKt2UnjxZwtHkQ57JYTkrghIC31vk/9s5jvW2r7dqn8p0AcmFjo05Jgl0S1csElyRb
6L3j6P8byutYlh3nzzyDjGKJFAlgP2Wte92GY72rEu0s87O9VksUsXmyALq0sqfsDIkJdgj9ohhi
V8TRsa9rim9nh8fvrYWkgScUaYwA3ZxBqC86uij0T1dx5qxlgne2wh5hpp3EI3iPF3AdSXXT5ijq
RojFXvDqqLgIWBHBj6XiCJFjVYN6qYPxJqJg7aX2WddhHpGHRnsUySkDA8tIglkJxkEDC17pvYnG
xp3YPGgQgrQSIn04N1BKyRcTO/tGR0WmNfl2qst45SAYWTZlcV4UyXPR1CfgiAk6PaqQJs2+5LCM
VmavgALn0IzTtF8nZX2Zd2/TZGP3U7yFVAv1opIOj/OsvvvQrf9v/vRR3/GLSTJDZJ2ZJUthXYhP
k9FOOFWj41Bww5LvENC4abum/0+LMe0X648fXubTlN8w+8opaL9cLVgOr+qekI6tWCWrYUEX5qq7
wsIkt+RMtdfphYqkBUSC/w/rjPcl+qcZ7Q9v4lOfP3XpMGZwLN12qe/nS+gYPBrHdOsc0FM658Pl
tK/OeSiswgu5uMUxuZg2ykY/Nhtt22w8t1j904ZlntP//I4M6/3TJ9bv0xwf71PuEaDC9gx9FdpB
yDA4e26qTrqFtv79N/0rJY9kzs7LYPohXWf+jj4MwZHCJGqEJBS1y3LnuNiuJuHm6fIydh6jzeXv
X+0X1xWzUs1CaYOAT5WfvvC06jtUoIwrJHV4qB0KsffDze9f411k8unj40VMIS3GQwiGPw3dfUak
4PNLzqNXfTOsuKvHDXXGa70a1/5pXN02WBZu43WyAe/9Dx/nr/9AThZJXJwj5KdFbKAGnLZj0boX
7vb3f9avdrz8Wd9/9acRsN60kMsHfvW4T6/aO387unfexlxu4A4u7MWmXT3jWt0rG5qSFQPRxfXv
34BgUvf5spSORagG5ZRuMyP/8UqBrT0mRBdQPcN1t9OlyXM2QwiyQclfc0oKBbaFOIRDdZ4NVHlN
xsF4Z5T5TtSt+/s3Y/5is/LDm5nf7IfLNooRIWgTb2Zek97kiy8PZzf2mec2yIC8s2rFGtzN1sGq
3jSH8SJmE54u7+0FLfMaE/bilCzkcn/8eh4sHvbH522KaOWw3zzfnt++3aFpWV7eq4t2+XZ99+V4
/o/quV/c4D+8+U83ONzyihAY3ryEymA88JDJLyoK0XxlBWtD3Thir3lnsDC2Me3yGriLHJa//wB/
fTl9+DY/3SWFGiiBXfIeSC3amJt0Oa+S7Z3Bg7fZYqF2wQMfsi0dyCZa0gteQDiwFvZS/MPmdX6d
T3crwjvN+FNJ+B718fGLrEfKny4KOzdtb6fgPEvTcyfeNriw7e62yZ7Hqf6HJ/4vLh20QoydCUXF
JTvbbj++YmAaYmySpHXLcdGWy1kxbywLjOsg+7N/+Jh/8U3/8Fqf7hkk+YahW5j2k2Y7aS4+GUNx
1WqDzv39+/xv9fBh9QDSCrkpX+ffLx5+jFn8vvD760e/G6UlW1meYqb+OX9O/KEZpkmSJ1JgHbMy
j5bvy4e/TZhx/jAE2weejTM7fF5Z/Ivtw7ve4Ie7AlCXxWIRVBdvg9/34zWq0D6XlYJpLoiyaGBk
ZZkvU9JiI3TyKHsMOPrGhWLNDKoBDgTDvb6xiJIb9Ba4AVAnrJgxe4Va9dlU/P8GZJB3U+DcoFdi
sfpXSkbNrTsSdlZmv0jJGOyKEZvnozioTIk5sfkclYGVEY6l7lXkwLAFZ96Ee7BJl1FaRv4aUqqA
LGU32TImjmRNCIpEgthXWeNaSVPcxb4yavsqRj3v1sGUY1Prh44tjNqIM3OomlM8dd3Wm2JxH07d
yOyCihWMUarRe5GoYSd/3tP/3WofbjXBrEbTTIOn9W9utq9fvlbZc/K1/tWijx/9drPNd5SUcAkM
Qpi4oaiKvu3WxR+WbSEXhjMAhOD9f3272eDxz2tBVnCqTXU6a4C+QZ3nOCcVQ5g0oQygOJb/5mbT
gNV9PoOoR3G+kSjFvg9uwo93W26abVE3xDkxGp72plSflcZJdk3Puo2BFOloZpXvQRMdWJNcJ7Uv
MXWKxh0m5V5awc5GV72uaswQ0UKazSFSM3hnZnkdGiJ70GbjY26PlzXmrUrxKtAeKUsIJ7a8p9rp
bUxnWC/iXqxl7OXLvmzv7dHbE8oIj9kcX2swKlMNhtLHEZE2+ks5NesgMMfVKOVjo1bBfQZRZMW8
lmPcqLsVO/EAtMwwrnyWpQs7UPa17AC8FA6Y1KyFXNeKpZVheacJg4EfY6/HM37FZoLADQPSG7BK
0k2ESgJbG3YrXPRrOQ3LoEuu6r5mseUR/+bTs/pWfNWoge1GeX0DANuD6UUGFAY12Ln5eTkUTA1C
w7mx83Ebx3b9VXShteuNtmNEFclV7aXOKmzCh863lmkJ8y9MweCOjYQpRVoCSQM9WMsIXYEUFrTk
xvA2Vicd2FU6nBuDxQMw953WD5fG2O1zb7LXStqGm0nD+KRMEz54z7HPDXZYK3XeAqamAiRZY0ru
1Sb+2zbGu6pFGyeo7ltfWq4XZdskYgjjKe1Jr1ViEbM23lROEJBY1Zr4/xUfU1gXTuvAt4FwdhN4
V6zbABGIXDqLGE+Vy6oUOMKYDpHeFIfnDrImlA/ts8WsNbTzrdEp+zRNdti8kFAr9oWaPbRTxXi0
c16iaFQWesEQOJnw/0Wts2lMdVpMglF1GKRbD/AOBvk7rw82fu5vnDLFFtZH86KZelc0m9YSp1bY
Z1au2AtqoR3scIaRQjIs7DdJJk6eKs+SnjF1Ho8PpVd+rftwl4nsZdTk7D6P9jLcFwx0UgZOAeCq
xj5YobmrU2ZfY7Uy9eLMaMeCMbb3tS0B0Ig8XedKarNGKi88PMKh5RzMXr1LGFtFxAaFJeuDNG3k
OvambdIZKOc7i/GXl1xXQZE92h24J1ABylObFREgLKHtzUm/U5XaO6oFIRC2ap8pqfcwWfWFLcFM
WOoQumUgrhp9AmGah2AMFUgHTaWFG2K56m3i2AeADcUl0AWIb6Pun4ZIfxln6xLkXA4hDwqxnnbF
ThcxmCnNybZdOxDvZNBOGDGMBJWlaZrG2bqIPWIncgsSlpZV3qpgdM9gi614ESrWQ99mfPRND0m9
z64L3bcxWAequC5gnm9jK8StPo3Fk+5b113Q5iz++m6r5emzx3PwH0rQucT8oZQQPFdnGQPCYJ6y
8yP9Y7nbq+ow09MHt2CQ68lrwx8WmLc+PPhPf/66jwOjn3tDjdZ0xuKr6DYI3/vxRUSYdIJZJECK
rLmO7XFrRd2XWPcuMr84/P6lfv57sCFbBAMhrKMgUeWPLxWaI0CyrOfZkBPzYT41kh2XcvP7F9F+
/oPIWlJRdFnoSUyYpD++iu9naoTJqXe7Ii42rF/TU0BGHVb8GNFEnoKsKAtRuoWJ4TgaS3ewgLpU
YUZW1XQ1qNMWdyi8i+EqLYglcwxCr5RxRixEtQcv2IdFXpNFqRrmNd6GYTnYUXVi282UqyGd4vd/
zi+mPPw52HWRjs3RUbO67eNFkItK1aKBwJa0qvDdg1V2UH8JCFtqKDk4GKfnpZva6bM/TcDC++f3
N/BfzfShZqLHMAEbffhmfgo2mpNpqxBN4vnza5hTOn0snP76+e/6KNsyKUz+9NBTCv1VNiGQIsGI
PsP4H7OX//W9bDJ01CdctmRrQOjlyv5WNtl/6Bq3DpRdCip17nz/RY8ifr4RGeLBmAJiQTf90zzI
GoRXFRZ9dBEZwaPaa+PNGBLUt+hMS7+w/Rxiq/0uwRPvcjxWKw+wPKCIz1q9JgqR7cl3CZ/hxPWV
Rfpjufjvsvs7JSyXwN+X6ihh/29PGN7H6+1bjc8PfivU1T/eY01taYD9ItuUx/j3Qn2OYrMpu6mS
/7ysvl1x4CMsDE2w4RxoK0yMP15xM+trVs8Jjaep9a8w0fJX6Su6JVRs1ZgLf34qC3vq4yJOJjds
glM7Rkc/ZpteEG002LXGCPI9dwmdbPLA1VSdYOl0S5D4gp0cUU2phNUKsQmqyhzkVJREOtWg6D2i
NpfmmH/RO9pnj0QoNvjgJFsvCdy4gqgjB+rgDO5Cy1xZZNorv8Bb5ixpRJbv1Ly4c8zErVNNknls
MYQsvdcikl9HO9pZVY+b2SCaBM4iAqvwUBUBdg6WYhSIMkBgyC9WI3ZtrW1fI8tF2lYqR1yWMF1i
wiARByyLJtuZiT3dekq67SSx41quPKUkgiyNsCbmxUMBZBXOuEJ5RUlrvQt90e2FfvqW6OI4gTEb
Utks+oSciICRrIIxG+N9jxCjJ8opz1xe4CaVFPUOYeILLUPz1ShjflH53WtcQGfqUBhalv9ClnK6
SyqpuHHbHMvBe5ma6o7cE3VBSlhMRR0pS8usn2sQqqu+FB7aqIkVejC9eVGSwpyeLhRWplCbQWyj
NoIXXIiTRaTNsfG0+gJTdO/qdn07Bh0D5HCHBOG+Y5XezUQeTjpiRGZKDyGa6m0DuGeaCT7mzPJx
amRPUWGumoAMs6yqiecIFUn+DfE86RzUA+A5X/lpAxBZzMTRGVIvcntaJjO4ftS9BO4ue1HyAZpl
NwPuiVvPCKKHIy1VxYDnDwhf6qDXZjR+DyM/mGH58YzNFxE05SiC1c1bQ6s14/WVGbTfBSD3xxm+
L2aOlA6Pv5jB/FiSoT3MsP52xvbrohsuR8+LVr1CptXQKw9Ti+SoMqMCXQTSFVXwvSptFq+VOveY
x+f7eG5mxnx4rptQRwepPIWNcd+m0SloUn1pDmG3tmrb2ghqWG1IuOBKlQiaNF0MMMOWakSLUWX+
bRQGp36OH8tyxjZ5x/iEnLKdzNvb1DOTK5jsxjak5wtFcG21c0gYmwHS1GPbHYopO1QWzFylcE4R
2KBFn5PpZlD9XGmV1a1kngHhBKKKYFVxVkkHNQVJ1S30lHtVSSoan4AgtUyWC7VqnnBWkKJRDvC6
6GyRpxm9uYlFjCYthkHg+AvTQFqnRayTZUUIq3LVVHDgjRINXG24UNoeI9THWwvkWmTBW6UJcvGW
hGdZmZW7wSsuYo+U+x59JyE1ZR09pQW8GMZu2Hp7ptIWhb8Dz52/cqckxcXEYl2U+RNry51X+oD8
1OwKgcMd7NlzmtJtEMAfD4h7hSfslP4D4HqECoIQ1pXjV87M11Y3Vtm+mVkf4uPP6Tom9YTAn8th
MkE4wWexpxhzc5/lCyklsTCO/ZUn3a0WsK22VQzqXmjup8y0Nio5GmdRx01kKlNwmShwghPRPUjS
Tfgs/YVUTIJh+aaBGk4kvre7viXQnbcMuyb/Uva55rZNcMEjl4w00kb2qTmLwhwdyiJ9GRvoCUh9
ZayHVh5bL2b3TS/2niJXzIFy0Rwtl5eEzPlz3FyXObd15ZNGPJiE01Yq2Pk5ni6eg+qCAqMAnVkN
1JYYu548uyHT05XEtYq+jrA7Ra1uuKwIoJ+D8Ib2WJGLZ8wBeWZLVF4cT25sKQd1DtH7r1j4XCxQ
Y0p7dlP9vlQ4ff1S5f/3ZU6gf80Jl6g/1g1//Y7vdSr3IQMvFXyC/ada/7uQ35y1/VQNxDvwj2g+
v1UN9h8283JGf4yP5+aRPu57nTqP9igrWcX86ar5F3Wq9u57+7EDNuYkeUxxs9XgZypBjbHFRj3l
1hoUpH7G0s/5hRW5y2NICsPkVRAyR/U6y1gZD/LcTL10qfTNbTjB6R2ZMaP/mxDRGCQzBc1XvRQW
ukr7qrKFXMASvnKS7pXWf+eLBPKMvY1V9WkqOP/zclsZw3NWVy+DZW8LrXkbzfxy4hBeGIru6l55
reaMGHkAe7s84ZEZtBMGdEE+YsQxuwF6UyzSKLG3gdP05rIbO7R3vvO18NkMSMYtq9Ir3FKIcK0I
5Vy3w50elqT57PiyLiy9XYax8ZJM1pPFPSOi7qWOnfNIsa66Ick3Y8CcrUA/CgobHdQI2F8ohe6q
1P6Y7IdkNY6Ex2f9q59NlyoYq6nNv0Bocq2+uKIk3Cvgrgh1PjCH2qU80BlkYXIedhF4LI/PFLE+
0ttKcy4T1mx8gLAnT34UHEDZDWTuTpsm7HbjjN/SMWAbUaotIO+UC1SGfErQuiwDbVUdGTcewWrG
fDpoM9orQSmLWq3dlTP2y4uadZKr6sqzARNVsMFk3GAvKuCFBXMcqZxBKNOMRLFgo3QzJKVJOZ68
GZxSzwiVDHXRMk+KO+I787U1g1ZwSD2nM3plsowbc4axSE9Z61NzExIeBGyWPB1a6opJmRUR5Dez
XKKZ6kLG0Vv7DnqJneZLYc2jMSSwC02fYqZIkGHI3YBCVIJpRqEeA48p9f4psOVtnqfH1IIukyXq
JgA3U7fjRT7zZ0hxIZYs3oSAaUKd52sEqiZtfMqMmV6Tg7ExZp5NO5NtVEXsBagbUgCPOeibCFNA
6hP4NoVz1tMpgpHjFMqFg95yYnrNfPTMSZ1+gYSiW4jBKdZDPLxpU2wsQiKx0OPLx8B37qsgfquc
9jlOp5qPoigIMCPSyhJIs7LmSk+c+mkyzZKQxHF8EaVfnPSpvxCxrFaK42urpJHdpZql66BIm8WQ
elC75L1hKxtROxupJ4cWZqnok3MzaY5FW2+plqnazfKm8eDt91Yfkwstn7u2ews96B6p9tg5qGVs
cKNNBIvRmaY9Oq+dr4Xsy2ZrhEXMWQWDGP1zT63TWcfcSS/Royr5KyXUlTdZR1Xx3aJQL4tW7nsd
/WWUE02fl/d2B1NpaLd1l96PVv0szdJikinQw8dm01MVV2zkorgn8GuoiMcrjeKEuqla82Q82YHX
qQujJVu3o5TBKkJRgHBWTZeOJPhAI8C09yXWBcayzTQ8w1rdsqnAeZNfW3Z5VviG4zoRabP0HAtg
lUcnKnYoUEpAwrZ3IwdJD6RYyn5sMfApVmFv9BT7XBkYJDbl1bUZeJRr0ryivNz3GSWGaQW3MgWV
qQRMvDWvLuF+xv7Vf6fq51P1f520iXbq78/VMwIRv/7fKXlumJ1930x/+Nnv5yl7LcsRNNu0zD90
4fC99b+Z+9CFI6viRJ3/Afs2jtrv56nBQnhuwIVKaJP9r+Y+0HwYFv54nmJllqztJG47mpNPw8TO
HknDURH8DhpRmKvaXunNS6jQSlY4gdJVVxtnQ4VwPPFuBLEfPVklsZOtnCFYywGe/s04BTeWAYDe
iJ+jNtmYhF2HyuAsbDDGiknGTnCoKkT5/Upt1lU3YArIDk6YI9UfV6aHP0VvF3SekYWwckC1brIO
A4Sa7yNtOPikoliBskD3fuZHKUj9pl03RnIGOgtRd3ympcGDNJSNN6LjRqh/7vjOmc+C2vaqXVGF
JMLka7vwD3GSHVtgfZFlu4GBeLUfzgwm/GkqNkaq3hm59VK0/LVEICClLbVblNmLWlBsswffm2Hm
2t6DWvjrWGs2ZMzrbmirZCJ3xBXUVgDtzTF90ocHrCFeUa4tnmQrA6PsSu/Hi6GuitNcgL9Q3pSu
39IT0ZVfRaoVuz7PXF9v2frrqPclOO6a57KolXvLaI8tRLQN8abGoucZXoC/Wys+j3V7fsDrPOlb
iGmpMY8P3iFqwh6WfpXcT8SpMMNO1wWpAtQi4j6FwdZaLdiJGieHCZ9t6KZTOTFvKGdym0lAoeOT
P1T33kOt6Wik4bwZM/DN15LuMFTWGcTHow4TrocNZ0QOjxtoce28e+nhx00zSE6wlNBmtNwwQ+aS
GTdXz+C5HgJdDYnOVHKPUiPbZzOkjiDzr+2MrZPjsPMlIDvfwVAE2S59Z9xBM0aEPoPvulS7VSDh
+Vp3p85oPNPM5Eaf1bNRDFag6/Puqte6YttQJ+1Daq4zdZbomorDwmqW8I5yziT3dLGGOIpJhgS+
lZPF84b2Ih3woJHAWW1Y9ioLuwVwG9TEm4Z4kaoMzHnDGhIy7vDSe+ULhQj9amZd++3wTGhsu0Lx
HLMd5MgKJ0VZTGGtLFtM6oumCa6yzEz2XdkBWBbdlvRHUIXVcrRVV7UK71pNSgArtnJRa9N6GGJy
xSvzUMa4Mwj8XJZ59VgrgbXLTO1etbMrtcqPHFpHVlrZdmydc0kDt4xZfbntQNhr6mvPY8gNjTFx
k5vxhTp0pxQLHph7hUlKA3pPixdJDWPRSF1jcF4dCyo6Me2YaWRZujHZJyKJZvBQB/KXxHAhesud
/PYhzjAEqRW1Stp0/q4tMMRpLFoWbRSm51qE2bCcYsJyipumLYyDkXPjKRO27pigU2mO2hJC+cl3
mP9IhxWoMsdSGJy9Q9XKVTPqr+loMBjRE/JoK9bjorDfkoEwNWguk9sqo3T9UryMGTbbspyOo6gu
bbLTmSnFr9gnqL1Tex/0oF1Nv49Pg0CMToa6O3EzgaQk0hNX7y6ZTOywjA1KXxKIkjixG3q+t9LS
1seNMd4oOe7WmgjyBUUBoNRwGMmaSnAjMFY7+VV34Xj5m6lPd1Zo2POwDYpK6qMsLir9UFbqSxVr
BFtaZAkFYhQrU6P+Izd+VeS5tu46skvYP/XhocuR4/uTG43MsvTUlswLRm1rTfIU+lO/HgS6wixo
iXkOrXCRKOVrTPDzRmTG0ek1ks7YuG/GeF9JSmPNftaahs1toK0me+ePgKHbvN6XADmZ41AydFs9
8w92o12gsAU4PsqN2iNLzrOTp4TbFtoFeUncZM48PUrVakWeAQFo+I98njtpV96r5rgWjGGWYYuN
1xPbFrZ9bRd3bCoXbcrULSZSVZ2I2Gwbu1p2antNMj225ZoRKhXu0s6cDaxF1HoENRkazUsO5WoM
sfeXOo5DHBj5G/eZO9DPFNMCeMGi1U3Xs+YQ2kI5Z4CylBYHVYAjceq3qq6fDVK7d3rJIWXtUz/H
scN+msh5wxy2gTlgZU22fj7dadF9p9kb2DS7aMDcK+orJxou/Pm2HkiTb6JhpTrVsghP/pBt7cK5
i+wJ3ekknpxIh1RZyNdGBpeTyvElxWMtnZWTzm6KxsEA96Xz7hy7PSsx/IXd8OY5BVB+cH1TpJ68
cVzHykEL5NL2PGRSTxPoKpiV2rous/uCtX+iWafR52SG1nrdMgPvZJnwDSMgUOrb/2q7z7UdWzJB
kfO7yo5olit289kPdd1fP/etqmPewXzEtDVzrukstmnfhyQszk3VRDnIMc645OOQxGSTxzBN/xOT
wOTme1HHHlfaqoaC0dbY6/2bZd4MKvlU0xkaJgC2ebQVqjmnwHxcEAe1LPvSlDzAsZ8HCBT8vlqh
ezmkFYwBIlq8cq0PgjbB208qWpCYCWujTo91yMHV6XvRk0JII0HTzhOb0kz3xL1MtAsrsO8xNu9j
I4Dsn53D/ThMDclZIQD6Aaw2KcjkbxJbTROUMQHZfPgufiFN+FXujInAGNCEJHYGR8As0v2gFU9Y
deWDFcMHruPgvBgznnn3NoTrtdCqbQQdpMXqofpi49RnCnEHQdS8UQJshVEtUtny32WMmyv0yRsM
mEizP6M7vAlK7cgAG3GXT64TEXyTrt4MRbccNLxs+IadpVLUS2JTFo25KclVHMtrJWKgkpfkO4XD
0gKRJmiFU+OxMretcklvj/1UuZmH8KN3mXAKqOI5tg2iU3YFJa09R4Wk4ZE5eINVtWwMDGAEkmOK
r/J6ZeDXjDqlXxYcKa2n7XVnYsUPjq3MMC1DVQnNMyUC+9C9peozZbaDRKoLn2OEk1RYQPZcX2wj
7ZqUXzY9t7q+C8mnFD7Kr2Oct/tEfRnBRxjjvREoW6U5S4qNHe9H9ViOqITGwm0oQ1rskjWVShuZ
JPA4bmG/evzqJtjb6t6s4vugytfK0J6r0tzZHePowNjF8DGgLrN6Se6sgShho17ZxLfl9XBJHNlj
4NXrkc2ZPdxolX8ij50VDL8uVDB2Y8DPwpse4U/FfAYfWziF55M45l1HqpotWFK9VFl6SuTJTo2n
UNj0EPoia7rHjOTxzrBWTmJsSKuRFVoPMv4CsAiDna2bYeRzof9PFfuUe/6yFsq+J/HPEkyyiC+L
cLWFKmVZae8B4oys9rIVedEgPZpbOypu+zw8i2WzmW2uGVSGTJuuO7Ykvaee0vLNx0KYaAmVagnP
eTjanNmcGaRva7d54uxiYn/aZGat18shxhfHEdYKh/YL15tnPRoq+e1NhB8zXsN45aVwMdGLIQPY
GcW09gl11UmYrgJ/iSvjgjDXY2F6qzSs1qSMubmdsRdRXSKWnqyYQFdpPyt6sUSWDKp8WiiePHgm
W0HhYKYxBVl/nJvVuDbD+oR99GA7Q7zI2SnpznMTXnukzzU6rPexdyvPoDuQYlyEhfpsJ/rGMUjd
y+eguQinH+5yGa0MujkxYITOSJvIUyK5/Z2nkq3aTCHpHv6ZZRGdIZILRSE71eejek+EIkjSgxVf
UYwSdFiSqzYw3SqyVS+tTUDgYlOSIRNHy2J6lU1yo/pv4US4es+DJyNRcKSOsNO9x42E33xlsZSb
opGsXSV9lsJYW4SneqF/nlOU5Ix3/MF4rHE/V3q4rQqWGQRh1PGhbcizKWYwAtesII1AywEfXheo
NJaOloFoSdbVRFbTWECPwM7HDirLra2Bx5oFXzhmp1qprlJNOYu7YcNS7AEn6wkeyfXEfW7BoWiw
qLYkIPfBeD121wTXcEWkhIPUsORYUPGQAlJDUcAM0K62PldsmBA+885joIFJiQyavlYFgy5WySMg
cMRJgbHMmEAZ6caZ7TvNi0onF5XNySzUZdKF60SygTHMYwh5QB1ISiaA1DDPc4akfSGOdRoQVass
Wu1+ioING0xm5eAAvN5ZF9FbnnG5NvyWwdl4er/QBMuoXF/aiDunoWPPya2skkRO1eTUXyvjgbHg
jZ9oO9CLrtP2G5MBuT0ikVNuJ+J7iCBZe4lcRgktRJ/sEfLxVZVLkoWAwko3KeUioyya3vXw6WJq
9W3p5FulV78WFTsjxURPa2/ByS77unB5DBMTyzPdzuDREzrGI1yTpqspt3QIC2asb5rg1mfdKHk8
jEOwSJ1o3bPRAgQEfSA+y4zINZt2w93MZN1aamXmNt6dx5/cR86+Et2mG611zxy7M8KDgp2fwd1R
DY5zReZnxUGP0XdShqPLWnd9eAQEsew1cW6axDd28ZmN/8VCMlaG7L5N7YUvTuxtEtR8xd82XHE9
0RZg3181g3tFYR+bReHDnElY8bGgBUPX299GnocT21r9V//9ov7Dc/d7VVf7XDVfPw71qOL+/KFv
xR8xKjqeRMZmpKWw66KO+yasUcnfY8E/C2eQ11AWfluQ4Sh5l+BLJJXGHNr3vfZz/qAlURnBWRq/
UlXtf1P7IZz8qfjD0WehELX5nTM/68cCCQlrw3zfxHCqNodJZf2Uz3OHoYuuIMsahKQykwjm6UTU
5Twe54kFiIJ2RUb3s2CYkehQDfOxeUkYcxSxOWCmYvLRhhnxbPM0hKry3NQNZeFUVrVJFXoah+GJ
zRAlgOaPtoa5ijFPWDS0nctB9fb0lRXQAIV09EgrVmPCYW511QZOe7BHxLOPW+j4NTRNpU92hc4q
qJl94H4NSz3uaS45318srOOO8CwIPXOYgYT6wJivHoubxJTPzhRxz4gaLUh5RVLpvhj5IzvbABdF
orJuXxZZdRpLn4iw8r71gidt6Ncabnk9kWe0YbsBsUubdA9l5DBHadhdEF+taLc1IfPo/neqWQpg
K6CNutTV9PGKhYjiMHQb5cWIwT8UCLKDhkqkj6yD9IzmgXlkjxzJ0enh8oA6qh1N14Z1smSNeRa0
3bNq7QqNuVQbi4sqK6kCH5uxZ+aYDtoB5W17SbgTRVBDHT9EYYyTpni2Gvsel8yFNgQXUm/Wvvxq
ROJS8fXHuO3RLWTGYSi9YGVgQlgoRndnBeOlYyAcrq4pD7aDuPTnpAlGL45/0UB5V4pr0/K3zpii
f/cvO3WT+MYi4agrQjPbkmPbbgnxTpe5fl5UZbQIRt81Wp3lajw8VCUjR8/2X/RWfa49XLmZWScg
OupHLRX7igxTTzF3kai0ZcJOEc0H4RVkJ9pItKb7icqlCkoGBJnxQD5evYo1s97oWqxvOHr56FkD
bvRAiwAWMAAwrRu1yVVXIkRZ+lNF0xHhhiBrcWHl9o52GcM9/85SNrGu14x8SZEkkE9VviYMEhdK
2JP8eFRU7amMB6ZhenLne6CssCKrS4agMxGuvkJKBDlJjw7NBA3Dj3YN70S2T3UWgsT3CNUO3SAb
IZO0HAqxkt1qFkCQuqWNqPxw4TMN4rL3nrpBBWEQek9DEu9gjdAYjNm5YVUtYovyutTBII3tXeUl
q1beE63cZP4aYAeQh6nwr/XCMDf8rdL1xqq7I/BHUhYRfdsUysHTxD1CnlvRJuZ2MCNI5EmurAZv
UPeJmZzbIv7SdfrJbtWXeHT6pef0mwBx5yqYrNvMLjDAeNplqxT3KbOgIR3WRWMxgKpuuK057QvX
8JNDKPxD1LOlNPL6gbDxy6a2dp1j5Ks+SJmngW6xDblHALuwennO+X3WOX4M8zF4Ggybbym7nzoG
QeRz7vt5MN4DjpBRdPAwhyyclt3iXSmT106w/tOiR7XsGEYORDZkWUkG8QTJzOQPhrDVh+cimp6Z
gK40P92PZkOvm5rUrEN6D2R/OyU5ZyrkozRZ17Q2AyKlQhGHtKYqLPX7OgVrZOkB+R8DOImGEPHk
3PKtRxRkW6bAby1QEgVZnD0QgzfkxUsH+NXvlOvAaK8c6u8wyPcWFj6Er24U+Xh8zcP/Y+88liS3
si37K2U9Rxm0MOvXAwjXHuGhxQQWKqE1cCH+poc96K+oH+uFJFlM8pFlzTknNEsj0zPo6Y577tl7
rx3pPeXd9U5T2ruuQ622epmO4Nkn0eNhQr8dJ4WhJ8Q3qG8UmBeRtCACzju7GTaRnB2BA3wYMraB
vmn8UGkv9DJsS5UbYAf+jEbIcAFqEPO+lbG+XXC0y3m9q+mQXOiSVOiUnPBVmXRMrvNaNlA6SUDD
FWsNJVq5x/RzU06baq2pTDPn3V6LK+eSZExPlWUtvZYzCaPke8mlzRy21l4i7WznTrL9tODu1QDo
0sJveOdcoXRblsbP6agHcz485J1cu7EttkbGFj2ZaybCEAsWdYjhKPV+ZaVH6Cyv0FggpdGZCT6N
LvVJTp3rvm4vaTfR+jz1VwUlYHpYBK01L6g7y0GE4X3U96Ch4vcqC/kkd9u8GPZ1ZfEeRyYPrRVc
ldNWxA1LUyN6eRb7NsnkvV4oO4mFeVEWgHjaB20swLHZu7xtcCeNDzSP+lZymu16tYn2h3HJd4Wj
0wtuZqchYy2y8puqdFfgznRrqacaaCq26sA9GlWcdpZpG/EMnIE2cecWxz4Od1GByFV18j02UK5B
zbsirBsOGhrbQ9044VXxKjFvW6nk/qkmPPPr5gbTAYRkKXl2Op6rHYEkoi49TsY12Qxx0K70AYej
vbyZrYNEjROMv3H1haPU65HBbAn1KIz1D7AnjkuzVsPKtXlFQrQuQk+GwJTg8pGTKM9Zx1XCaqTr
NKUHM6qctWwdAOaoTQ+hGU2nqIGj1+J1pFGrCWg0BGxp5tgdnau6ZKWsqUhyHRTFcv1coV1MiBgm
jLS/R9Lfj6Q/S8bGf1xKPr7l4qv9/M1Y+sNv/HkwtXB8WzoJY1aTq3Xrt45vxUFOhnv8kw79g3cL
PqthkcDRLEMjKr3GTX5ZSzr/1DWqT4gnrLtE+a9FMyEc/340ldlJEuvDQkYM1F7D2D/u7ojvjqEK
nzuwMHFnzXKuNMK/scPNtNXYxbAn8ZtYukrGr3keThEmarlcthk+jqg2fNb/SHFx+KkswDDnx2lZ
vHKc7zm88UlDFoylz7irWpe49JGY3ZdTiJ1UmPdjQyePxT6naEjtN9tEfFVmsR0ZBfNKPQPt91md
eEM+e1XWXEKAyNADNwYbw9FsfRH2dOw1OzXCQ6I7G1mOr4ZY2swjzxlTZz2QBppATsPevR4JEpFP
89UCuxS2Yc/ugo1WJ5EMgnBmzCDhZgaKVNO8Khxe8wSoay0ghYWBSpdmZpXnJq/9wRmeCoxQq227
raddggXUlrQrB29IhAoW4/qQJ/hMlMa1/bTTWnHJ2+5azrcCm4tcFduqJay5AiUHFgDoNZiC7f6a
znjhEgxylZoSYa09y3LiR7V2p+u3ZjaipTn8EJxXbQVQDXBhIY7W8lG2Au0FeFLUetIkPcTdRalb
BqJ+W5bjVkpuuiK506Bz9Y1+arrMx2N+biL7ZiKAZ7BhA5HFadlgvKVbvp19LXpMWseLs/sZ1pzR
fxtUsV0DgWbC58Hir9qOfbWcXcvJ9rWhBzyGeSdtdUfB3p3cDJ9TZfjKXGyplXOBfe8FrndGaVRU
BydrEW2hg2+VabY+xrFgfVMimccLIQLKoKbhpg4finri6GdpKkxvRjA2EZXU+dznJzYnNj5iSqUV
ZteS4rlcdL5cmqdYpr7KvJWWTwefFf2rft/plKHmbuu8CtZ4BcvRSh5PsiUFq+e8os1PhmtKwnM2
wgNbv2MxGVx5SuK42k1n5NeDdsbltSu7mL5JJhF9vgj5qdKauzTEY6HFDxkidj3lx2osdjHg2USZ
setLRHuL7TTPNBXnV+Gi+p303NoHvZhwaelHDWNSroDstvaWzMIqb67JObuGlW+xRG7bOtnEwEOl
epsvrAizG9pkNwPpB1EyUutng5yxvgqgiL+BbU0fTaueqZ2j3yr29SnfK8p8TY6XpXt1NK3MM2WB
QxiDvxP51LZ5fBX9pO3figTHBEDcRU882Gp+nmdbUw4f5iq7Fy1ue4Eds82KS12J93ASvKHF4MEJ
2GfRNyWhKy6MNrB4dti0tzgFWa8sB83u94VtbIXDkIeSrfGZN/lDo0T1R6s4m2CQRBKeijG7jUb9
TCMeW5/JZrk6dayyx8lPBGFKqZXPucQXvaSuQ4R3TcenU3G2lIhtKBJNEJr168GqTnqUBFon4/te
1noJTVwnrfbe2OOxskIeOfMG5yYfMdoaxFdYpZe2iI7zIl9zbeaiYA37rI411+CpkKohyv0JLuUF
FydR32W8stkH94XYQ1pfH3TGTmUi4Yn9xl8n1cNZfiM1n7XoXLnovLFg0Iyzh3mevUXHRDkZboNV
sdEel5ymM7s9FQj+rKKOam1eCkIZtQl7yjGPSs0aqtae1GF67q1qK2kwPENb54JlwEud+enrTSjK
26I0H4sk5wqDg2Z+7rX+So+qQETM3bD1dA0WTzbsRG2dJBR/E/5wM/ReTcsiP5bL8t1FQj9otFCv
dDqta7Z6JB/Nvtusg1OZH+2wPgsJ6BsMT+6jBUmVkjbPyNqGnQlPZ1tY1yMW+dTkRgh+baMXN0N6
PUWUSFIhVGbRG0lh10ZvH1KeaZWJBQh00vxAqtePwRa30369hug95wIZ7Ljkaj1ZCNYwWvVlY4hP
Wau5AEpB66inkixnvwybmhVwqkUB5TEui43TyHiXsBfhi6mC4uDP5f8sD2TlkTvNeZBHt2tv8vA0
mMMurexNlA8sL44pCZRyfnDQ3mvmvLY+rvFSswd/tzi7no2KNg0Qb0/ObARLXfGCRDR0mJIo7quJ
w8KqYUkgdeM4qDVCzRJJ8DG6oJxLLO813vVZeyxbWuAGleZR3TW0j7yiOlx/Kvkut4PhRjPTfmu4
BcRQ0hIYGdTpPpd1f5W5OlB9ePNjOkxwdjX6W66x1aanD1P/AYLspu1Wiy+iQx4fB5HtZbkMIFdu
rcFUfbjW1T4iWrhVAGQLMz/1Tv8m1w1B8elGjvpTEcevjojfqK4NPblGBqhwDDlFCbjYpHebO3Nr
WfOmF4ZDEMBoPGS/yNUJvtQyl1U5gRKSrlQAAW6RxQCJWja4ytmZGtApaTCanKSpMO9jabo3WgNE
N6JEpWS+ZP+dKlgjrB/9j+vOX+ZKROM/9z9+jyBW3b/+z5oruP6o3v7kFX6dTKHfQPz5d8b1x5Wp
STaAaLZFpp2nzw+TKYUcrFEdh1oXQ/uuiv97MiX9Cp+HKDz2SJXgwV/KIgIa+f1kivORn4E/hB2F
4XxPkP+gKpekaBSyViJwnMXPGSswaPspnp88C70k5NFhdhuwPJ4N5LeatJc0qzY6jFZOBn9uPhqj
30ZK6BlDtYvXiS0rz9WY+Ub6kE6Ppa7umu5bmirnMDxWtGnM2YthihOQf+7XsDX6O6t7GXoqq2M1
yAj159nFBn85D+9NX22FuQ2Lb3H13ugLE2wJCv0t5OBKyJrbVujxUx54BqG1teSLSvWozdVtLL3l
ADNLfHVUh1bHaKo5i+b7KZI3pi12KRjakLTXwMO/098jkg8l3YRKn3q6em8zRikhk4/+2PYgUns5
sCGSVkO9KeI16cdzJatvnOKeVXnkRv06qwNUNBeKdOEXNzKo8nwnw71lQbwN811nMR+GiwsUfZvF
YPzi/kbP5NeaZV1DIQAhp41pCs/umuu4PdAhi/iqUSLMdM/gPzAU0/jtZUYbDCoHGGuSlGeSQp4B
eJ+7qF1Q6dUBffZascdNE2IjS8I7W5j+KgjDZ8cqqfp6bgVFxoCQGyxipQDzz9ZwEi/Lta1Vl9Qz
mnfTKLxeAMcDoDtQFhaj1lEMeaPp3Wa0Z6+rsrNGeYKK2Gq0+cbGs1TGb2Yycua9aeqdM09M66HH
EvLg1IQFJvMu6x6FlvmjeJtgcsugYuYy8mmC9WggdqlHvrScgpzTnlzSSjwTh6x349TscMTdiGHL
R/MiMdrXIvXldcIJy3OoHbIx3CQKlkkc54TDNHvwLLU9SNEtpzggbpys88NsxOemq67qDtdcr1Py
ex2bEN8lzVWTGyeXYGcMe/Ig+MZiPzfRBRK0VVM9ctlEjc22mrxsLaVkg6sHzoT0ndyL2NkSF96X
xnQoMyXQ5A9tcDZKeSY/flKH96xER18OkR2T8U12inrRyuSCvBjYtXLTTDgfEuPSyMM+jaftQKN4
LatvRUr1p2694YbyTZkwpdPvDGH4IdxVpc8PzSj7zZKfWWW8VGwbjSS6xigFgqENenDjUxSTAzSY
/j65j9ICWGLXABFoDTsH1UxajCuJ2N16bYFUy/Gb2H0SdF1+Wnr1lTbZrapNn1IMh78Mr3uby01E
jrXtnsN+eTazHlSNeT0n7JohfJwTOje0lVNf9IYXqv1TB1F3Iqu6FPlV3ceLazYqDCIjaGdgfAnX
QgUM7KROr7IaHlRJu9Hs+kjSw5XGkMpaPsZqeUVb/KEiLFmayXEa0m0vTR7E4W2qWPvIsiaXoJbk
jVp+0OqRCTUs7f1IaIfpJfNldXyIF+jAavKRNOjBS9V8TVF+kdjZ64MZjG1KVEKadwVivmCzluv+
RE8IiF8rfSp0c1OBP1L0eBcxeTZMZYWqByn05mYwGbItwr/fgPTf6zCOeiJRGa0C9HCL8hFxfFdB
KMYo7nPlo56hBNZMz3NbueNoe7ITunmrUpcOeYlnwg0+UdydStuxza4CR17jqnl9bkNMDWzpiKQg
EGv4ZEcvqsUV6RSUW/uMhxQdSd1Y8kMrdXgeN7lBt/oUbmFls72W9sKU4RgnQT5F+6jQPNWqDrFD
nwYFwCKMd9Sbt66lRFepbONYruG9pG6dLa7NAEJTik7NV0KV/IRcTb7bJ+qljs6tJVe0KUD+M/M7
M62CBh+3wfdqbHOW0OhR0PabAncPIxfhET8G9VqE/X5JDDoVtGOTPC79uxEr23HsTmG0nJL6vW4A
njVcpxDK1VOlvifhxCUSpT90DrNS3EQWmgiAaHqSyFbaGL27q25GBuAZkiXPnfycAbFSYHxHgHha
ma8jLJV21Lcx1Rktl8uaNwqNaG6nU6MiRGfJdIZn/BTL8D0r5TYtskA3sOmSmVfdShrPOY86qc93
tDRtFtbZUpxuB9W4ijIMAFnHatt1xr1hPo0jUOzZYEZbU/CzS1v6q2g2DeIjail9MmMQc9LkYHBn
AQG4fwrt7BTK6rZQ8D01ewFVu8swVdtfzfINc/gVqSn6Tzyw7JxRrqFjg7HtjzEJL5LqUF3BLWNm
38zSl1LKl9Jqj8aE/axFl+o7JIJmq5rPE8EsvYP8a6mbNIkuYopr8NugLOboIHXXBoGxwlEuJgAk
/LnbheOndZZX0yH178CoUtNikzYnkoN7WciYEtjlq92jU3bXWka3CH73osAl1bSbNWwbF3d5lBwj
9ao3pvu4E1cSb5ODU0jla+kWbALUhfdQsq5S9MXUYr9iR/ohHArwqp3f5dfINjt5Avil7tIuDWxu
PYCYtmkdb1T6IKIFi9WSe2EvnjLxoIPcaqVhN2m0fwz4Y0a2BmqxHay71o5PaYuxQqX1oKl3lCIG
WEkXLyWS3NA6H2I3L9ge9VnJYoCbw8Jqt5mGDZ/1i5MC7pN4XmWjv8yjb7eC2qOPkENUqqvbJe3e
dCHuK+Jrda4cQ7SWuHJwKX0s8acssTZKYg+rw23eEsRvtP3CnSuL2JU0ybXmTITfjt2gBULWn7Hq
u3qb4WOOzqWquBZm+7DGzRZV74lpHmKCdgC7Nq3WB0lkBhLrL6u4nXnFtGKeWFVq5xLC+xym+lwJ
wguiPSxR/RFlrI8U5SakQ423EWLY3wvqP7sPsMz9D/eBf/3v8iP+Wv5x+1b86/+2X8sf3Qd4hV8t
FDacalg46KmK9h0U+6OFQqVqz8JHu8aNcUr8aqJQcF3IMiklE88EQ/8P9wFuD0BOgJOQt8JI8VdM
FNof4ZGxrdsrY4vrpq6vJosf7gMSRIpWrPpal+BJ0swy3lh5pgXKoJ+T2MouOV9At9cpaF2TBgOR
gw59EThne1MTRjBrcJ9VqL1D3OBDvlQE3dfsgkyIAXkLlJ9BriFfEw6IWB/jmnmw1/TDbNT0G6DK
R1ALXCpBLqpJVgKDEU41y7mnCCbjij8bx5xohQmzTFmzFkXXkbqAq0nPFreVfM1kYOplb7LmNMql
fa5pXQ6kRWk9Z01zGHV+Z5MkmJeRook18RHbfO2cMvqc2HfGqsWmhnVRgTa6VLA9c4Ij8jhdRrW4
jpRomyiT7WNVeisGy3bzNXWS6oKTr5Gu4jWRokjF0TaN60yqb6s1stI11r7RmDUq1Us0cs858RaF
vQGBAXmTmDE3np71zSoqlWZ/rmfNyzuLgwWHpFRsTGiibgTSUEB2wa+LRCV9F6uEeEhX+SpykijI
VklL6ihCWkUueZW7SC0s+EeQwJxVDOtRxRKLHd2yCmXkKj9ki9TrgIYWQ6hX0dTsVVyzVpkNm/fy
5qzSW9jRPL+KcQYJJ9dcBbq4j8lHc/iu0l2LhicjokNEQNarionCLwsTH4JfKDMlxYNxo6EFZmiC
NdrgqLTgTwdpZ6EaTqt8WKGGDgnpimUVFktCOyiN+VohV67io0CFnAbOSlTJaCxO5SpTTuiVMlvC
RkenrtvbzIq8SMEjllFrct9LJmHb4puM8jlI2Tay1KfRXHYxyqgjiI+uUmmJZmqgndYF6yUbNVWx
qXAo0Fc7bK7Q8UjpxO9R2LyM6LCFMh0ko1rOBgptwYZMQ7HVso7C46a+zKuYq62yrhi5zmWr1Gu0
6WuN9lvUuOBK1OBMFK9JQxkM4ylCMYpxsUrHjdM+VPXLUuE0Nu8aObtK+3YbZasgfaVFfKx5G107
KfddL+g8Q3Rhv9Qk1rNjL6y3S1iGcGSWMHWNAgRgkX7a611kSl74Mj30kiCiYX2TnYleyUll6W1c
ofDK++hFrfdhSAJG1e6KCvE64k7ojNbR6LqrmE7NKbdqfJWaupNs4sxLf6NENExQ7sBCNYokcmfj
pewaTh29e9AEK6sQHI5QuVO14VErxa6qMUOXWv8WTaYRpMp8WzTOlbPkxzyrVKZcuJzW6s8fwsh2
8T589Gb67hBqBFyzSklSD6JSrjOmKG4wSFuK68RTUDgsNOvOTF9CDQMvq0qtxRk+hKG2tQnZ6UmB
sZErQDl3jm9P7OolvR+9tlQrT9KjW83C5pPUCMxtHLRV/mxj1ATAcpBsxy8tlm2j8U0bpmtHhpk5
pY/qXDFR1QnZJo2Bsdh2MVtWoTxAfzwOiXaouG2brNj31cQc2zQbuZU2qlk8mC3auJIkm4xNSKLF
X1mvdbuU5+Lfx/KfHcv/0cy4+2rXKEv3j3PSvr3/llD3y56PF/h1S7cW5joQ3QCDAZpkS/brqUz/
gqEhINPWCX/jN6cypF9SJjw8VeC+BJL/fSo7/2Q5Z3FgI/ZyauO8/AvsD3aF/31LB1uYAM+KKJMh
4/32VFaWIlnmLJuDQTOXoB4WbEaF7DVYh41exZzo8K2lfIxwnERwrM3kbd1T6VFZXm6pbhJT+IcR
b+lwu9GK0eUAt0dlb4SjazAYz6iRLLZjsBVK3bomllu+4H4GgkGuNJbQ+PqsW9xsqdC8BsqsLb06
Ec/M+kEJ3+xmvy4M66UNDNTWsHipGuS54pgnhWuQx1dhauEDshZCCM+Jfm+v5iBoO2OR+DLx3ClF
dO0/ci5NnThxEWNeTs6a+qhhKYqzTTWvCJ2GS8exlGM/NE+WseN2KIHRSOaKa+5NqdJH3U/bhJUe
969KEAWhlU7BP/4tTFYBJuUQRxKsoytNPSXq+0IMLzNe7Vz4cdSdMIbDELnXem5W9rda3ixKt2nS
GLc8TW3Loy6lHIRQHtJDWtINB46kZqdpbA0p3HU1LK/Gz0d8zMMtM94m7Z9Nru+t9FZOj1a718v3
kh66EAlLh+/A3SYebjRqclq99SP6EqPG78zjxBgAacsLUX1EmDKkYNKx8JZJHV1I7CVp7mlwkIEj
zRk5JpO9oe4K7aIB5sfx1dSfZvSkU67TOg98GjyKtMzGCRTBdpbyt8Y+memV1uB57cVOU2tOWoC4
WnYCugBHyuw8BVuZstrLsJnZTbfHQ/5N6yRYwtp5nkD5Yj6l9vJi9rw5FcpcpJhXGBH3Zh1SIMg9
h94mneaMoaH3VLKCJpWR8FZLG8S0l2LQ6WrKz605+WltnAzt0XDejcR4qLC+xqxIFjU7ynKLQV0c
iZB7JJ/9oRgPcd+cydH4ZflQKyobyzmYcdc5JObVKL1W2567Eld1LXIXXBaRfl8rMZDqFoV6VVjj
TSGXfjo8F3UGfRiedGscJkhyCzdOR8jnrM49QjpAa8pdiWG20KsrCZ3FXj445d2SPG2rs6viSyfb
3T6VKKIepg0ss7Npo27ziTaxC5YjBjvQ7YX+0TaXjkV3WTWXRnnN9evMYHOFzXAVSdGWM2viS2eS
oDmgke5ontqV9JBq6c7GNWzbZ5lIGtmOfSm9CDm9RP0DFVpeGLGVcPh01QxHUu7gieeeHWEHiOWr
On3XTRq2rQrbfHxd2dYafOUqnn1WmDuHYg1EqdvvEJm2fIK7/6E3zTdVrj8T1bqN6eRbym5bW3oQ
ksrKkvxR4RKQiOpFLdVvMyWTZeoE8GAf2Fc+keI5ighNzjIPoUZGg8XD6JSUAlpklWfbrXMoIq3N
BqinlDEcqeCTIoLQOj+7ZqBc8spHpicfCEowFZRtgp1dadmh5OVp8ToDH6B7tIzbQK+e7d4ETRLG
njMUp7l02Gxr1fOMYRvbWdS4JlAHn67Wzzo9SGPM+a4IzIbhxsQNGFfVXb1QAGs9CsIX6AvsB+AY
EhASiX43s4BOmtWq+4YpjGV/4TEZfBRC38wNH6zWwaZI998knqKu/NLkcF90Gd2u0UbTiBWHw1kv
CEoDmPP6pb0bqpsCX08eXvoCUJN9ldixR6zBC/NpwxDptYUR6FO2H+fprM52kJlfiLSnaIhPUnQf
K8Wh6OtgIX2oWuTYFjt9z9tiL1Y4xUKToZweSilitl67x6pTMxaXqFKvOgfJmCGsDkMykCCk+/gJ
iZNH8RjMZk3RFk7kAb2br/7qKh3RE/J6JqGk+ZWJoaRJ74YSRnt+Cifaegvb7bHFjGbvzo7q2YC7
uY0Mz1FjBhkQ8xh9k0LixVchpkNKxUpMxfLwtMbt1uY4PPSebc77rmYrP3Qnw2JVmPMI6orPPP/I
y3g7aefQgCXYNxtlTPc5jDWNRGYVR1fjrHic2r6wzK1Tf7bpN4m2ZNzZQaM+Vl3vlTbbPhpXQ0vZ
lyVm2uSuCnG2jPDqZpgFsP/2M1Q9a6ng19nbJUp2sUhPYjKCnkPAibWHaRl8S4DEQziociB9tUQY
piPlfBEkW7Jh2kXGW4eFQxpbBJDM0xdKrVt5U2TxocejqmgIL6217YZvS459f5SPaVRvFusNaDyb
t6e+yo+qHCSpsaPHlCpKYvCWQwMhMHfiibLeoukT9GHjZUZ7mJD3xtxfHC5b3IVZ1qXyNZsDKN/G
7TLxcRwN++zIfh0+lzHbW4Owe0Ogf0DFWOV6kBpUyBWbKLvJY2uHK+ozx8Kp68WRcN9GLMsd/dYb
zFQYGaKt2YIkokeQsH2k8Kiu5+xSFE3l/vX59Lr+Ku/69uurP7/V/3NlL39U9dwmUdx/n5F+/dU1
1r9+aFd+W939YzOUn+TuqvL3v+c3L9H9r+//OvqqVmzxb34RlH3SzzfDVzvffnVD/tMf9/N/+f/7
L39m3tzP9dd//Y+3zyIpf6Ih/1ZKZnvCbsda3X7f2XDqWlz050sk9619iwEp/7g7+sOX+HVeXbnI
ZIQt8+ealn/Pqwp0ZJtoNuUv7IS+Z3R+2SIhHTvwuhljv8ejf1tFAU+PdDG4HlWBq6z8lXkVFvd/
n1fJe9MfA0yP+hfzd37Hfm5Gh+Upy+8VTLBEWkLSJi8OY2RAjVCGUzeA5aqK0Ahdabaw58uIeDhz
jpUS+r2sUBNcmOza9SLlqMFhZosqfMHC9j51hMDGLOyIj9GHjgST5CHStBpJ+zJJxOzJQ2Iz9nLY
hSaenMquN53SG66A0HVWxmnTWhrmET0/C6J5GJe0jRyqHxnbMNCnJFUWeadP5JqdBJJXGN4uTahS
JQ4zrqlL2bdVvm+S1HIINSnrkXpVSii+uFY6qHXrCkp5azsmldZOE3/KxZ0QiwzxzuCZlUTNZgq7
L93Oa8S+EUtML2B5ynyFLVqVmMtuonDKSSIg4kj20Aaj0d/baqTcRomF2tqzJ6+WYTgMNKBTlElO
pCRUJ7r+NAmqpjGVaZ6DnebSh+CKFgJ9G26yz3qWPkCtm+6Wab7Dz1JuC3XueZ/ZbPd9gcwY5RI5
U7256SaypLrRiH0hdSp2T/Lfdd3W224CFRIboFec7DWVZK7xsl/SSe6SXNpLAi85Lj6aWDE8bPI8
fFYJ3orcdtxGi64XZ/lcMnFvG2v5+7qhdmpKjWNa2oNEZkGQcX5gr/ZVNcuCNB9uy7mkrr5qcDs2
kDvGNrwmKDq7rCkTbFDT5zxYgkwoYRUM/ZMPf5N/qCjBqaxc12kz+jq/YEQL8T7i7yrYfzCasIMT
U33bUF2t1ygBudETTInEN1M1g7zkaqMJYE7yJD0pknoe9fwmHZP3MLRKd1Sjt0rEt0lVPaj5om0g
9pJb6GUTSyqJGyPu63ORE8kCO6iARlSXw9RHStB0zYfUCedJMA2zfAKun5nVA5RCDTEELXbTtejY
hd3K+6LU9I++Vm+tOXusDSM9zWn92oaF5XV19kxfUe2Lxji0hkj3U69z+UiGN2P9IdLZAtbSxl/l
SERCauanGRmaKFzjdpPu8SMfJL16WkIG8bLxtZl3Ej0iFPGhcAhb6Fkw0uubdsN7OOh7iP7cxybz
qmlVFNQuaCMayUEAE+Wk8R6aIucXU5uer5nVCcJhWoRXZJRsl46BdVSO1GO4tpeQAEy4HdJoUq7d
Jnk2HVQhSNNQrdciPpKX7bxyXhzyRIiZS6WRTln7UlJzNMD2dhjDCMwEpoJNJRxiKJjUrXRt7PjV
2sASJWybJnSTfTZ13ZdFvKQbOud+7kUTOJS4pGubS6aXO3ntd9Hi5r5bG18kM7u11g6YeW2DaUeq
m6fytu3pPKYuplp7Y5q1QUa26JJJcqlzF+TZYKZoRpfJO+Q1XEhzbaEJB8XD0AELp2SD3GqIggC8
DhL5fpev7eyPa6NNZ9BtI9m03BRr383fJ+wfnbC/LHH+c4/aV/sG9eHHY/WH3/frYcppKdsK+xVH
wwPFGufX5Q/gdxCCHAiMtWgyv0oy9j8N2eEvTrVN1QBWxxH4S3jA/icvxApdJXjwE3/+Lyx/9D+w
aLGbQtiRsZGpHKi/ayVxcj1mgZxSYyvAjsUImqO2N4yeJycoxaSO291kRBhOs8LG16Fa5aaSo41t
qS8pemNWxITEM/M16qhEp4XoWQiu1XWsHJXGKLehRWUghUZYlvWOPCLf2bqKUjcKrYcUOitgJ1gf
iCkhpVCBbYJEH/X5qTJxyjb5m1Y0CYXCDWM/p2TbGLeRrDyHXXmgIA3XaTRvB20u/DY2HoVayTS9
MZhLcnGDwnqUJHVPz1Tk6WkCwEg9aDWXMMk8dzaiMIeI1hcX7peHTMY6jR1easLHpJH3Oe7wpV72
sJsWyNzgw0flxonyl1nIZCKyzZKL9yE3rpoON6+RvfaK/kIHPFmlJRrxUw4PpeW8DNgYoji6jFV2
1TWqXwhmCfbkJVYgQplA168iy7hNCTwkPXQB9rlN2H+RyLuVZUbnVlAkP5SempCab9VtRykjj1iz
wJHscGeBhKbPe7P7vu5HadYmB81IzJsRyL/HpO03CQ4aJjpuEcVu6spgiNSDag5+P6XBYNjbNs/v
evWyOOa1Eb/NE+JCr3wtdveV45SROgy5Ml4p0elT0EEDbGj8iUPzmv8L4IJNR++5pQZRknNnVjwe
svCqkm+8upuRPigrImlNcyH+0boawVKRv6Q9B/8AFqA3PXaRPhcRr5pNP0G7mYxbvGHepJM66cor
rf6AWnsxreq+WbSdUHDhJfF1Sjl3Io/7cuJaSRNeOI6gbPGa2ezpNMzSGqCQxVgCq2oPBgELC0Lh
iNY0TvKeBRBwlFJxc3w7/TDDAcZeH9JYMJSHAlpFwryhi1uhvdVGvyHg5mbEIKGFrQolm6UEg3rm
9TzRpfgJy7UnGN1S3eB4ss56YhAhOerS7GE03+hK+en0Fe/6l7wYCJ6pu4Ql5JXWr2pg+V2n7sp+
8ZrIOnZsK+oEhVJTfVOa3C5HLppZnBZL+i1qxNaOjS38990UzY+1RkLWIRzOEpIGZPy+LKbs4n5M
y5sYD2GOl/And7npSc0SiEH10/ZRxXnYYSipmnsVP+JS6dw8xW2vvwtWm0OrsTmVLwkMV8UEXdKN
9zHuRtPQ/x97Z7LcNrpu2VfJqDky0OPHoAaXJNiJoqi+mSBkSUbfNz+Ad6pBRT3CebFacKZvSrbT
eV2zintGJ06kJZAQmq/Ze+38rJhFPIFArflsooLsJvXsyyJzoO+zBrHHzL0cfVywoUTI9lSipqxR
VUbFp8x4Q9xEHhGsimcX9WWWnJpmJujqXiZhszWPSnutoMyOGGchVTxMyWPgU4f5Zzluprr5jLFp
Gw13qXFTov7khJ+nrrtDSLRVGA/YsiHL4ROlDu7d0utZapoh0DCT6QTa0lKr1yFrLgshRcQoWQ44
cXjJD+yL2xJZlD51jzDy9wwgr03pvBSMQ+JuOkaj2Cr6CCmk2QR+C51JA6wMY9cvW3VDb8J8mGWp
WV9HlJPoe8oH+IYYVRr7RTHSz40sWnLlhk9T3bDv0WD+jKW8GENQFoGUiNTB3xcuk4NxNPZB2rwN
ZC6A84uJJyPHwOnqjWLJyw6T7IJHqAec42Uy3HOnao9VYUFCsfExUFNi4nQL/Qpq5IPpqEejNRVG
Y7hWNG0tsFHGQf5qdtVzbSsQsl0ITUheZiUaE1XZZWe5oR8HlFD9CEFn9D03zx9V/tdEsMPmb9Go
l6qcQMkgdbfd8gg9mG8wLPH7nkz/UXczzzF8TCF8LAyW1F6lAr0kiPsraN272r+Ki09hXC07RXiO
7LBqoI0PzKU60/djycgH2RApAQtdNZZckutIkbupq1epBfmmfMnLbNXCHaTAW7iZcZCBspnmJ6wE
hhq7xEYoJyJE5li+xBsd4yKzIneF7/rYDu1aS9j02bJ7MR2glOS0t27SrrQwv8+76tEwkjM5Nbs+
IyAAmDEb41g7KjjXqqxc64Hz9utF1Hn0UhdN8bn9dtzwYWDx/++I4s9CyGaV9PeDiT9ov8s6Im/j
B1XU/MNfqyjtdw04r4P2VPvCwec/fa2itN8FAVCu+LOGmmchX0cSJECxHSPC2AL+xpqNxdfXKmoG
h0D5pUzBn/mlwPqFKopDfATDQQ0GGozIXUfjDkf44wItHNwoSuKI/fMYYVue0xuyldRu352cH0Da
fngUWmsCQuGaGAbW1vfimdTwq67C6ey5kHQTl/WXgriTjfHjz48zo94+oIvnb8N6kQIT2Ilqz5/j
nUgnNIchN5g8kaPSQF4lfLIYAeVsGVA+DP8UUv6jL6UZptDnkANMst+cOrobEx4Q64BKD1Zuez+C
rwCn9Effws3CgO0Hp+47H8KMdYbwaKs4edXvJkadrjeYOw0TOvCE+HD2GmTrGr1qULh/DCF/6VCM
wGb7hOEwM/3m7I2kLDAY4Au1HeYlVpWV/VrEz1V88/O/0o9OHMnH/DriA4TJTO3DX6lxpF8aOeph
lWexDedqah3sAtru54eZz/+3F4P5pRcxIZBBWfx4mCEx3SztB6QLmcbkpr9tdfUPO/rfnjGT2/C7
Y1h8BcMh31boc8rF+wsuZvkMSgUWMeKY/Dlp/LSiQkEOslK7jpWpAzPkXnfqNMbaW/VbcK8yWME+
iSbezz2CZV9PK+TLQaHxr5NJIn6GVkwYSw73vmOJKjwKmtkkZVTOfVWbLQBqa1Du6giJCY5Kx7oT
chZ5tiNbJSVhwyMzgKSGhDrTDF3hWWpNrIEYKkLrSuuGGKB4GUFnPrCDZuUQ4niM8eLm8sg4CJ48
YUM09AOS3UvNbLU7B8uAvnLrhBxUvSyzEzlTNbIs1wQgZMX1SdYuQvZxkOb9z/+E318pOsNSrkge
neRhzRqD96e382M9LRm2ABwoT3rHPCQtb+2y/od4yy+36sdLheMIHqc6KZcAQefnyrvnRl/Xet35
lekNa39jL6GsLcUqWpqLcoF/eBut4z/0KH974cx0p28uHJQR0A8tXg22a5vfXDh5MtpJYZDUqun6
qTaVi8RUPqcaTVDUlP4N1clNLckDTm11M07+S6rlGu48x/6HD/L944XPoRmzCR+dhiu+eTIPA8lF
bTQZWHnYSsdNuAGndB5CNFTsuvmH20Wbv9U35xkBJ3D5Oa2F19c3R+POd7QJ85Dn19bbWDnLzpDl
3u3K+yRSsBcDhos0JkQNyWtGiYjY1m/ytD1lxIX//Mr6/uGgz39oMEuQQ+d9xMe/uOgUcljKitCL
Or/BFIpPSrz9/BDfv4w+HuKbi8owMyPJJw5RZhd9g3xiAMzHit0S8AD/6TXxT99nflC9u4LrcAoN
Z/byWP5wgs6/1Kz+8uff5wc34/tT9iWE9N0hGjXCtpfzfRJz3AwEk2DdP88C+x8CYP/hm3y5ht4d
pggTpYhrDuNE6lmB1Qoa4sPPv8mPr0N9fm1b2pfa7OPZElILpoG/j6dct6fxLXsb6RDPlHP0nGf0
1IJX0unnh/zhyXt3xG+ut5oOD+ljMd/vFfj1ZucQAT0mJGL9/Djfv5C46AzdNFBFUUF+AW68O3sZ
U1gRYG3xjHZWPxp71848tDAXvtO61A/5c2tMPaTwNFv9/Mg/+rs5OjgRbuxZDvbNvZ3ZVpbpQcTl
AfZUYVwRKX+q+P72qfmjk+hQpHIUQqUoqT/+2UIIkZ0lA04i2ucSPkFm36rt/8Nf6v1B5g/x7gxG
hQv7NOIgZMGwF8d4jU3bYGH189P1gwcvmrV5s0gDAB76m+9CWENoGfNhNCNEaRMsXfEoazZ7ebz+
cqR/h/P+IGaF1+xPm7bm7V//u6h/Oxbd24dw3q9NHz//tW9TUSpq0ByZOnBLsXX+q29Tf6fmsyyu
RBd895f/9FffpuEdIIFZUNwi4virbcO6rGFKgvWNKAXv8y/5EUx7rl4/vEqxSgh20q7gqYKTer6+
3l2meKEpaTHKekpSssdtejbE7abVu21b90sX5xhEl9fUNG99oKxyxtsrBhKK9rOp9Ueer29zBNdU
wbvtY81d1AOoEmI8cntCSBTSCSpViCMoZqTFKhHB51aCW5N1e/Cl/6k0UTQKywU1gxZFa2+GtiAw
Q3MWkxXedxZzPPutt3Okv81xakhxxRQVZdlqhGmagTHISabQ4YUs3FRepKXzCiN960/NeSL08xLO
TlcF9wO2s5DEAgKGl5V62Yts5TpvI/qkejo3MWuSaMQM5qa2q7N5BJ0o+moY75XxhegPim+EeCPR
E6+ZXl3k4CcGLV9EAIndatr05i2EwvtkuA57BRmcgrIRNANK5bJFIk+JXGAqgnWr90+zAp0Z6S6p
zhKkgAZGO0aCpIaMpCsaVbEajafYfjPIdVH8ewU9W39l4M0ylXOiXIH2s0mmeA7kXh9xWFteirQP
fEnZxpu0hOlQEuoQSpbW6FJZ7DWYmGTQoA7aWPlrxNsJHUoAs3Is2r2DGruZOo+B4TZpIi9GqZ3H
YsPA8DEbGcvRg8blHr8UA0N4J40+emZKcGzQPPoK63G3W8fMOMNSrGOprwrZLFVYv9DlPDi8ngB8
0VTTdeSQfwYIqSF2qqzcfYl4rQRU7Ab9MqUaFShgyWo4n1pxNiTFtYXSXEwoeSp/M9pz6uRTqCHK
S4arGLNVB3pptK9N1EOIuRBAhes6IyGvTzcJKUAFS1OJn6Yfq7WM35o0heEWLkK0vYglV8N0bajM
VXGoWba27i3403q/7MwXWBhe6bfr0R42hssaetDQ7CpLvcFOID+PASxH3dnGnYnQloI6ct5ImF9A
SFpU+r1VaKgMkUCauNnjiFlxuO/BVisgHsXoYryNVy1DVcXtvTobPTbUL1LNHoKiuKNjSlclvrm8
+awF/gntCwFi6rI02mhhhOq6VBAK41bdpMV5md+RD38EBHtyFBYkFePXITufQKTZLAhCk8pb+RS1
PhpXDKpwvePswIBzmaNA6xyDWX2oL8pyEwBOkqG+bOIsXWJ/13dN1oc34CFBvBF5OOibsrS53ghm
VT+ZlYI8sDup40VbPAvcf1GQP+tmtayi2UEbr0VTL0Zm2TbYd+FngJm6Z783sM/210ZE6nIB+KqO
2svZYl+0rGpERNJS9jL6s4bEvjDt+tA7qI1z4wbdD6NWyD8SUfZymPidGcu7jWkD7WpHDz1JtISr
sBxVToANpFQlp1ZKeQtelq0IYoBewq0vNtGYbjKw9qtgcs9is0Tyou7rmr9c79s3JZjBZSkiPI6m
+ilt0qexYpecWsmdzOABhbG9kUl8OQXTNlGHfapB41RJIilRLQ8hK52mnXYSuivUKNDeZrKuCnln
ddqTFnMmdTJqGU1w6k3FXkNlWYGMnxcs4fU4WqtqROsaaNXOtvl/ak/ktMZdgsDlqbPaswIoAEF4
G3cKGM2y3AFSArqPdD50HFJdOgEe3CI4SB/JwUCaVFxoeyRIeL2SFdLCBfr588G+zWcmluEeOo0V
TbQXxlvVH5k2IcGUW6WuNnFovcKD2TuASMuhXIex71VjdKXmSEqLcpaNl9sKzR2YKldswfve5inK
R0maDrw0llBOGh5ro8KAOnwu4As1EM/iTl26fnYCoP0Wzl5xgAYvmtNtJkzkDWbyfnaVKy7+8on8
Pa/Hct4YODkVG7lphB1dxZbeYE+HJLyJWyiWzsi/QJWJjT3Hzs4bxEuxD+vY3DXs7hO2dznb37HB
O7MfvmKeEA+2N7rms6aggTCC/Jhip66x0rtY6lOs9ZNP6q0t0o2L6X6Y3fdVbl5Y2PFdbPnNbM/H
pk8C+EbFtu/P9n1s/CEZVCO2/hp7fzj7/FVNbg2LmeTQmfsirE6DrP/oaf5dgr0rwWZdHmUIg0MV
ERODFIOG9++LsV3++obg8fUtf4mefzvVRR/lL2/vZ+k//IVfqzPtdyauhuVomm3PWgL6oK9Tdf13
3CWa9XVw/lGbwER9ngWSGOIgQ+ATfp2qo02Yh+qCINs/CrRfEvqp3/Vh2jzcmdWGJunNTDk/lmfR
wHzBKd3B02aZDzx+LPBlg/QHDZDRZ/7CmmVBahjDG5ilQuUsGvLxoPW8PQ3URORIe9wBR2xlyVJB
b6Qo8tOA/sg1U1x2eFzq8qLmB0b0SoFV3Gc85sjKo8igrhtQNgX1eD8lbblt4uQtmcVPaWZhYEEP
RTQCtopZIjUJez/OoqlGzx5yA3YyURdPaR4nB6qtO6sxr3iumy/pLL6qZxkW92e79r9os/gX5W2G
XmuKOzwAviA7FC2XKzON6kSZ9lYA/L+rcy91jBSaopMuE9BtaAwzXKcpgbr1HLwbqLzZQrtgw4zm
Lm9ITchIizFiyVnrxYsdmg9iGh7NoEXdn0fddEZs162igRMB5Jy463GwHt0k0paOFvW83FWkAonK
dLkhFDwpCduVaoCOmKhsCWi7abBIpu4q6sIc92RYH1QrRw/FGhaqorIxslroT2U4J432GOSWYyoh
uTDQWRuljsq6IYnCxG3O3hXRGFT+0jaLM0Uzd12rY0wd/fKyKAeTd2FXknkWnzLLaA9WYCYrHPIS
ilc4HjNNlUurGvSlreifErfqD44heAZOIkUgNjYUb/kITruDyK6O3QjGI4hWVloTx5Yk8A8UmfH7
KKmaWFcWbRc9TqBAlnGCKbYr8vxKU8jloQanpsz4duBukoXqgPiIxxklqeICMUdr28XQ66YR54qV
JW9xTPR6MrE2jwvzTk6df7LUnPe5Vqfbeiqfa5dVdxSw8DAUjEfk2W2CBi5SnRgHfcgDb1IInW8j
4a9T0dcHGEmJxxIItk5VTzAVgRB2cbzNe5IRcd1C8zjTAwuKS6aqL5nud8+V2xSv0ojSjdEa2XWg
qM5GTWqJS7DGUyDddCuj/FKgf9iN9tRpmyFy4ttRic67XG+BGE2xvw4CQd3d9dG0doWCZrzrCNBz
wxC4CQCBDeg+3ka+PCWxgcEzhmo+w8hEWIPCizZDh6cr80cf5LIKws9W1A2DIxfmBuQAQO/i+Ou9
+n8HHfjXfpupx9+/Is6f63/9r+ffbuooj16fX3+7/hMp8P4l8e4X/flqsKHX4kwUDL/m3dyHV4OK
AI2IKATD7pcmnKfyX4072V26ypKSwZnOz//1asCzqOoqYwDAt6qtIg//hYWr8d3ghyHqvAhl7WoJ
i4n9xzfDEDiZFehIrWyrHuf2wER7xWVaOmc+lMk2cvDQFSwEUQnh6KjwDI+6BFLk46hu2qEksbgN
0A40owlGBN0uqd995SLY9nP3ZXB0lbjBNmmMjW/FBBbnSQmOS40HVUOf0HYEvRDCWC38ZnJ3gVXW
tVdWPWLfsUqhVzm5gMuTRhGQmMCq7kUS0GSPaevumScKBU8JwXSuARoK18RMGf/1W+C/i8aA2eLf
X/7kzv1Hiri7fqZC+tE1z09/vebF74xdKYPmDZaODISr989yyBa/s+CwUQo4tur8cTt8veb5Tw4X
I8tyuiTNsD+UQ6o7OyWoktjZ29Q3v3LN68y9vplWIebRZ6MwtSF78W9WvrETt61TD6Xnt4BMzYYe
RyuwH035pRR4lXw6U/xtBDa01ObLrjOfimFcl2QC48oDEFSgs8oEgswwZVkTV5m7CGz7RtPlhASP
RCA30Npt3weCRrabPCuKdloSVh5ZuijPA/h00/TW0SyoEbkisrGws5pkSyprC3lSYmjFvmEar2ru
RZYU5/VYnQ1hceFWrn3QK8wXvhsbO+iahDCGVkYOWd3QC6MUPepKzzusuciClqFQ4m9VqKv4tWr1
sZL2zsrq6FzvS5rJAh3rnTsM11UvBKA3BJQTzY1uEDE5Tl30EjqwW00Wf4eQ8JUtyVQR7WWwtw0g
T1o2vBUGq+CmRIrUa7OPsHKYgMuRsqoFOYjP0A0wObSmPQdmLXHDRaRvzmcxxVl/rkdybeQ1uWD8
vls4djwiwPLaVbNVIGcshC3l0XGY9eWksu6cSAIHi7GoKcRx4Aqek8syAaIeDQGU5JBxXJKrRDLI
GmSznN2L7nWvKmRRVUW0mqSmnVI3dVU2euO2ADqx6rWONPt4OhetZhynmIVYxKv+kHfM+iJ9YPLn
TJq7Iqvk2ha5QiaqI4+DrR40PvnFkIvbmooN1qlhX7aBeh85fvgWDzM9Hxm/15h2Cn5FYuFVs+Io
9OxSG+IGc7QSb4h+UdY5OfVQXBMQjm2tkCXjp16ugcyVExdPG901LfJF/DnLXsUmpyfRoTF8TyHM
yZp2Whytm/gpATBtIqpzB5gsDnE39qki9JTA22WdXsmyxlqcIo8X53pl3bObO+J68yKDnKYgviEs
b0npubA0wBOWtqVOXuf9FakqxJ3Asq0FRpT6jkUYdVq9UsPoUhLaNY4PRetVpXvjV+593JcXpe6S
tGV0JOn6VJsygT0dDLCOTKcqYbzBXy47PLcgUwNPLTO5xoSxz5jkyWCkNE+S2PPNuH5qe+VKr2c1
mWssMPcK5MDMV6emuU3i4NHOavNhAGepKNZZJkiPq9rqcXKSlAEeReyQoKmVhC5sNUSpK+kC/oNL
xXTqwtCdsxi7szG5B27Ek5JhsbQsprEBd/BiSnxBPrfJOKzRHjpoaIg+1a1f1uOyH9ILyyHdpIZw
51o8JiQkjLEVkN00eQ8ajeg0Rb+nSGAa09JFFW67NKr6cxaLcFFiqYAra26SklrXZTCmjyU8Kezf
YecjcdYOeuseG3IYqK5hoeU0HYUynqo5abc3JjS6mJKXA0haYD06cWRGesdbtlxKiV1GVBGmGke5
iUkLmho8Pu5gttA4IYZH5Pnovbjox90Iq11A0WRztajTols4vruts7vJcU5NSlxC+yq6fMNy8DEv
IPeqJaSa5rKNeq+p4J311VnsQm6pa1JT4pehC1fJNBz1xkG+TgjfBVOyAt6tNM4tomrSOlobwt9U
SvpYhkircfzhXh+75FlttPCxhCuoL5Kuyd6cOkIAXREsJogVXra1JtBclg7XEUT4d++u0x+bid/y
LjsVkNaa//k/5m33x32FUB2MdzTgNjXUFyXNu31F7Lb8mJmUXC/1evZ/uW37ILR+HVYjL4P28eeH
m7d03x5OGOb8UmPHppvz+uTd4QLZS2dIo9ILa0KDquZuTu4Tw7j7+WHMeav53XFMB7WZPfsDxTwH
eHecgUdOP8QkAlrVzE3Q4SBa0vU3sm2GaxFIsYXsA0pUz5VdUsfqUtBIbityobBDW2SPSlWAKi9w
1/eM+fNej3YYz4wTxG8Vs3hbbuRkgT1SNFIH2wTyqO18tjTH39WFVYEJGJZtbwKxrF2ofPZ9Vwdl
uk6bApmQwHU18Mu2loCvkEsf11Wj2xedgEdvhqFx8EX5yIX7p9nmv76oJVOXGlfTKFPnLdk3u+Ak
IZvJBgRN7w9gA5DmyiqCde3n2vLL+f/3YO3dYO3PFsehZvr7YnH1HD9/+tf/yX9QJ84/+NfYDDUV
i0lkD/Ot8X5spv2OoQd6MtewRlaxRV/ytU6c4+0sKh9Ms7NG9evIbGa5cI/9Z8f0S95YiohvbyWA
y6xNYTurCBggvX28lYqENrB3Mh3gfuwFZnmK4XvmZHUXMwW5T24CEK2lbC58hQlNmu4zsdLr5yR+
gGG81h1xbQ8VbIZ2q0nlYmpudFxvVBJKZW3zObK7771MaA/w6ld49o9ND6a3ORDaw9Bjzp0yNiaB
V1Cdx2yLN27lzKZV+PmmvAoMdVWz/4gscj5t89HQNUylLY3Xa0b+LxmXi6R6sxW5SKtwlfc4+LjD
XTgkTqWvzei+npOCe5uU7mmL3GodxyZ7pmcawbua/LdYMrWAUYpHIqdNG4F1+pF+NSLhy9t8NQbu
yh6oVYJ4HhAeux4UZ6RuS0SUepgeUajuRAXNLc+2aaw+WQUFnSOWhcKgEWTrDHRuw3TF/bqgZsJF
D6ougYKQfBoCe+mipbdYxVrTQ4cUU5B4H9rPBt+3rnHVhCd0TK+VmJYDzE32lZeWPNOLjDG+2CNy
INSk3aSqu6pBUhLYPrXKOgISaxIqUNrshmxelWdql54nIdF4Vb4zin3VP9mBXAx1soQ/xLK1XttK
ymlT5/ASmLWI8EKbj9XtoxEkiwUAcyJXOfPLh35kn8g7ahWP05nUmrtcOOdJysysNoM3w04uir5d
VT6JDr1+gaWpWdjqBS/wyzz24fS8dVa3KygaQkWFU8zkK77NAbb1PadPM1m5cdHhA9JDe4EpZ6fl
KDRV7ZZYHFIn5HrQK7Z0c7GPNzJXjjlgiQ6TTAxmKDLDc7cyoHYQoABOr5Hh3g7B7gWdZxTDOver
nSntLUWjZ9bpietkUXbDanTJqmbLmunaU0vSaRGB0KbO8tNgl00ZWSEVjiFzpUUQJ3iuJwkJTIFx
YKDGZ7jW4WsEuH1Ryi2Gnj+FVewNM90a/ic0iOToKCs9lfukZrI3hJ9sarDBJJhRA2sh8GoP47lt
NF5SPo+VuoJ9vnGi8Ax/uqcWXEPWtImS6NpJs/XIbqV2HtSqvWk0lclFv01JhORzAlWt7seMWbE4
4AdPCaMez1LYt4LVmS9QKNA79YW1yN1HW16olFbJlHhuKJahWa1DjBClnt/XLA3DZniyUu1OFtNS
VBgeGmsFDxBEDX8aVz9R3cdEEyLvvuvV6nIiR8dpurOKaK6Qh0PRL/UxWhXZmxF8LuihcnPeG6v3
ro0rtwv2VGs4i2t22C+WfaeDrQ0TaxuAZHFTAsS6ZGcM17Uabky1PrJidbV2P+Cel+0sCsqVQztM
+9oe7vy0fStq+zauaGTi2H4tsa65av9cSWKsC0LIwJ9AP9b2fi82omE2bISPQT4SsS7FxqjST2GZ
nUNnp/uJyBIZtPPGNnZxU98wx1yMfCPZE/pF6yTs01hiV2FDHpfRRnd52vWJV7nqtolYYBK4W6ks
1XBwNcq8Xh26BzfCT0aeOwLBx5z42I0g+hpdBi5foq/dhoXftKiCdIdnbm0k5n0lzc9qKradYMLb
yhUd6BUD9FcI5BT4w9Z1+3sexi9mXJy1fbmSY8CWvuJTth2GuOwKQ76X54LexthM4nISL5FMvGIa
V73AA23mez1Ul0NNh1pad25irKqK6DgcVXo0nvWk8uCkmDt/mimuWgIsWQcSjoYhu248Cp+RONHq
MJf0vuxfdb267OHfeUk9bvImWxlCu4zAWi5URT0DKfc6TcNTEJXaMhTaHPaSnEqGviPweFeHiEVa
UNHSioF/lKyZx6G4Kur8LGLKW0MkzMGGufm5Qju3cSPynJo0eSI6ytMBOktbXfR6vs4iiDEN0Y1B
kcfLMXwypLFubrSA3CIJnf8sTq3QS5M3p6FD48vat1BsJ0Hsb3aZV2ey4SmosbDnhiIIvS8/+z5k
2xLMrdaXu0HJV8jJWdk/kivYGMOpDTsIuzwRsgpX04TtxyYuxW/oYdS1VcCyGYbLtNP2ZcByhpym
hFxqcWPydsuoxJpe7BX9aCjWpnBBffnkhRCeVzeE0Pe7Qhl4QtaroT7idHzK+u6Ul7ctl2xq9EtN
FK9tEu9F58+pXXvNInHGToltDtddk1+6gojKFPF0UC7j9gWc2lXrh+FCoSLVepc4dUKI8IT35qOL
WKAOrv2RHJRc89QqXwZAsuoo3pGEx3sgWcXIGDKwTqG9Nmio9ULZmtDzu7m7zWJUja9NGm0a3ecV
QxCi1T7Rsi5Bca50Dbq7fW8mzZVlHoOcVNTLKbqJIjjcbKsamEMFXJ60YCK0CYkEGu6rEGrZAh41
JOlVoeHoAyBfs5KquoS3N76vTGIWJVGUc8eUwcxsslfjBU1k4GBX858n2js9ZSSjLINZVJzjfO2M
K1T4tIS0v3sSJA8Dwo2gD2/jMfMaQu9jl0RCd/TqKltVzbivjMuYUzFOiQoGqVxA9iANxj+k7a3o
eHrq6SWjB05ZtDJNkDb9mABsTbZpQk8NsqxUYNWVBfMNUfJcJvhU98GUQbOU8IdqipvUWetwxmBU
bUd2cZeZ6UCbTW/yOjgVKtVWGVAJ3KDpXEUMqmh5IaTRq4dPinuQWnheFLU3Nnt/uO5Ge5FyPsla
WcDTnkUHGUPn2IeNfwrCR3QpPDmXsb4mNxwoGa95xCZRPmuLsBGCCHGqgf1aulY0xBJvk3GWNACL
smyvTtc9fM9B4zcUJxGluzANYJuxdpMg2Ueu+Alfdw/7YjifVEy9lrMbQMhl8j6VKdtVc92V151v
nWljs9TDT4Isb40JkyuSTRTAzWjaDcwgr0PAIYW+AQm7KHMAfFpxbZBzmCXsCK16KdFkSUNu1YSP
2wYXceKsXeUmrK1dE7iLKbiq3Hg/8vgo7H4bAz2biv6zqUwIX3hBFTch8GwN6ppMa57XXAxJh4Q6
2EfOYx6rl1lZb4Fmn1yM6MXkbEeDPavRr7WqIZKh6feRb68oi/Zx9GKk5T5x8GySs6MgBSNyfitk
suMaWxRNzn2owud21zZeoRxXalWeUt4OY8LASF0mTPuLWiMoHZb+oHshFs4yvKt43JrkDzWx+6jX
r4SVnAXKfUooRsIcL5+6fwsi2r/hcc7Kzb/v27ymhMOTPrc/aNzmn/zauKm/o2lwGZtQpYAPejfg
d9TfbY1oB9wxtkkDNQtV/2rcEEmzisF8qM6tHeu2v5o3Q3UckwE/SlYLBfivDPjFF+fGxzkIMb7z
r+PjYYMS8zzm3RzEH5zY6HJ19MpSPJAd7qkNe1l3jvCerpoM1hFkAG4zrGuUCyyrhENuNEKu7Emh
IehslHtRwIvGj7fqaJ/PPRL4aRL6TMbtz4k9bonDXk7qaQ5q48G1CVzcSGDJDHPAIUPtUVm3eL4W
k2p7bZIeVHBmZF1vBFc4xl/ub/YNwJoHKAusACP8+NexIz8p4NEaMGkTaWklq4gxvh+m2JvA9Dfx
59J6rVOxKVSxYnSyDJzwaAJgywCxlX6yM8cafSiiV3E+sC/O0pcgLl+TuF8h615VQN3UsJpRjDvc
j0t1MFgwkNfS3Ue+41kj02WoK4LgS3QHPscLtiHwODnKB5p0eCpg5QYk6B2YORp3FINEQnaHFgid
0qXXJrqG0TJXJWq0AVgdwPElA/LFPGGleFxOQO3sGW7H/L8Fdhch/WrTAIJ0tGzpWYrYPCKoOgUK
QXbA8moyG0Ma63pSiDrKV6GVwy7KPmW+jwIyMi9ysHtaWuzr9qaI44Mm8oMoPxsg+goEuRbIvgZ0
n6bnSwWUXwHSLyItXMkuuAIWQ3mpg27yp8vQbK9TYIDGTAV0wAPqYAJtcIEQurc6+EClzt86cIIG
WEEfvGA0a8U0a+2AHfQxhVdZCG78mXNFQrvByhI69AwrBFpYzuJggmw0566N/R06zWtgmbRS7joE
eYhyjYiKOUsofgXMkKwCPI/g8PwBdF/9EKlBt0DMeqhBKRKUO1vvH/hje2a2nwAuDlOB0BcCo1Rh
McqZytjNeEYwjSG4Rn3mNqJqZrkKytGdmY5mixSvnDmPBd1Fi0WvCtgzta12a8XYyv3Qees5rWmB
CKdOuqPfOcuJ2d6yoUskZRnHp2avNC7kkj8CpTzG/1Vl1BC7bPA6tXkZgSxNqaHGqD1N+kA9wTii
zJJzFLp8NP+mTvr9FJOjE0ky3EZvclIS7p1zPIfz+32NPG5pVv6FO1J+So+mSE1JiBMiJxOaV3tf
rRIlOU/MbqcSnKqSoCywLlZVvQk1QI5OdVTi/phgzuPbeuDO8SX6KBKdVTRJdnFUU/kpHBlAqOiG
HfJNXCAKRPAk5ac0ek7c+OD2+I9dlMhB6iGUWjruVTbu3OLGJplaOGy/xvhGI015IvAJVMcYxocO
2FU6fU7VA8Uaay46AkFMDprDjkiS4TBWr6TBe1oOUD66HCJ1aU3cfYl1TrSVJ8Np45N0EnUY88XT
mEdbzT1XQYMJOihNhqwvrPvAuJRaeXTLxxBK2blsg1PiwwNX1K3k0hPilDSsRNClhh2D1ukUqdGh
Ss3t4DDrEPVGD4rtVFGmKwBUEJKO5WXsaF5ck2LlN/5jDxl3mr8RTAjGB5JjKPqG0hxYIrkaYY6m
KKs/2ZJTZjH0WLTFtJZRd0RvxZjZ3yuJeQP3KljqQ/AIIe1CNaJNqk9ey+0/KfFhnl0v0ng4ZliA
jIDnCrDFp6YivCtV28uoag4lkusq7YOtSVo8EnQxXtnGUOwgU/WbMPi/7J3JcuNIlkV/Jaz2KMM8
LLrMmjMlkqLGkLSBURKFeZ7xN73sRS/a+hPyx/q4FKoMRWRGZpbSejAr7SIkAoQDcH/+3n3n0j2g
62299T0NHLnXdNPa1BGPVQt/GCC/mgkJHAMtJvUlPd6oCVwtLzpzx36po+aUwvrURYluJM96MeBY
qN5WQ75TmMlLrLYj2d4FZrfK6IobU/ncBwoXUb2sBYPRI1yHZlo0eT1B4nqhZNZ92wUUaXXwKa29
zSW8uwfndizDrdDKaS4yIv25Lfp5rManBl62iXNmaIdAYTuUSLDzQ2MW0rNrAGRL1HweUbylpAxQ
0qWq4sxt6riuX67Lfh+07U5L642PE1WAYlwfCoggR0UyrwX+wQ0wKlOluTqOZ4XFBqI4qOFnT29o
XNsCJ8IAOL4tjGEXBLfSUGyjjLOXzIpDCr5U3nV5spK8aC30x6LYZ7G0FP1lJB+d8EpP0dJXh6A1
gBaHysRUYCDrkC1D1p8UZmfm4saAV0xlNkDxK6L2GKut22RwzkEmEf6WEO3pY1V21OFmCtm4okdH
RgoML8TNKIC67aNdHv3MPa2MyxKLzdbuZq0X0/cLCNtSIf2Z+0ghE5X6K6s+Dm2LNHpcUBdelvpD
Aj84tO4aV90rxOwdgmgncz6nCiR8q46OJeVxBC4J85W4fa0S0d7ZAwvyTvzAXFZurWKz/IzF/G2M
HxVuBSxQTA9s+GvIKdCOBgOu9OBaZ64CbC2pZoqnX/l+eUWTGTUF/46GWQvUMjWrpCPnIGhPUIll
UG0QnooBeIsmzYmEYETB8E7Mc9nBwUgrNg3dD0boLpmUXd6yungOdDqxtDi8sxJk3CEXnBOrDDiw
1fDlpuBzNrFJp3/HXlHYdemgeU37rE+CuWsW22JozwAyzTRD3vt2Mu38bm1psHaCRN/ayuUYJtug
Ua5NzArwZkvMO/bYrOjIPP1x6vZiqUHOEzaHWhm3fZ9M5LyZBcG96bIVprw9lo/0UXDvAOFIT3n+
JIXjQs+YGf1n8rSzWNoY8kYqMCyQcRhzWL4BvfHuqBGYZ21YZOqTS9NJDHa7MdjwkJkL1WCZJXdu
HCBcNKZJG897jINCpHg6ZeM+z3cVzEXJ3wwaJOEBaAOrs4JNPEYWbFpSz0Nff50hyLZpVykT0tQd
d++uUvZyZiIgMkBkneXFqRTiw5k9sh5M0FKSDoXjnFHZtG7zdAOFhRWzWOLMNpHN+2D8rBeiL2Nh
NAgtsssk3OsDc1e4tZx2VZr6LEyfbW8z4mRU2nsLxT4eyuRw9FlJVcAGk+Mqz27x2Yzu6b6DVU5f
CDvlgPW67wHFeBd9dunBxBzSfle3KE64vFzGdYzNaEEttHVvx5yYRbh7DA8NIkdPMFow+rWHR4s5
rLb2Qc0pPfpemoUULSzwi3589FtM4DqgldFmIGGojPmkiS7C6gKUH1/qqm9vo6wgO/CkmCRDyFL6
xec8xuhuuCbnPM0vs3opY3AFm0ePLpP+1CQ6RAQx6UndQuuehqZBqZa6boVnrABq9SN5+s+5QbxY
ntjhtm56FKCXOg5MDUt4GUBtzA5G2S8j79HPZn2mi6II0eWlOT6XskPBhJjYeS4wESZxRJBEw42r
zQv/EojzrDOzRTmCTUQEYYD1S+EzsuRm/Ykz9sSj6jJr8FqR7GOR3bc6i3/bTpFhz8SDHSp4XBNi
Aw69Gop67sbyCXPDblAuCnbyiY2ZIAK4Os3PjKxcJwEpcvBmdVUQi9TKw8D3iB0m6lo6oYZ8A7ti
5Ve4Eleqeueb5qk9ElTTVKYF9qqou9NO9+Ztz+M1NpbgE+4CqTzNswpfbmddZLq1Iq+yDvLu1DCD
pRkF5PxqZlQUILYCMWS4sbIdkeS8S9OdQu44N7zpIB0wbJ64VCXMml1+XrGxoVA0TjvrwQo9ml8o
oqNqrfHRJdnTQmkAYjWRUohmcnpFSYTYjfYFvqxhhSdK2wJr1dqTaJSuSx05cvTc1MSN/yyP/to2
m8r7D7bZ8afLY/CQ/dIumw/+LKND3GRZjsJOFtbKV7tsVKVAcqCjiK5LlJvOu102DZh4XVBX1cG+
yRQ233bZwBAhVxiiSZNquKhp/gEZnSiAvt9jiyos2ASWEGGe+43WoPDs0Yy7pkbZXc5Cx7jv1HDz
1ajsXw/2tUqDQuv3JxF0Rgq9ZBX44t/IU8cxghuujeUcMMutWUUnFKpupMa8G90sRU/NbrTPlY2e
xVQDXSQJKi5+dntmNkMz7VpzpTlSdkWCDbeBMdFoJxtugwTRX0PsMo2dpRoN+pS0/znJuO7K8klc
I6DHpkoF0J+p2swNZbjbLQbWOjEK1axoG4pkX+A2D3RvwHgVclYhG0JsgvVDiTCndAdjaqIuIom1
aQNnTo/HaRjpZ2Vor3vUSHDghNGqGa26F6mSpHdMS8iXChhuauxQaEPZNKBwCjyDcATNk4z2yUwp
qFCzIBoSwijVjU8roZTyhvKeRrpwngU6MipI6wG6KkUIrEIhtUKBF05kIb/CaIdylpBkkZwA/aIp
wpAbwVYhpFsRGi4JLVcpNF2StSD1SdMEEFwjojtWW5f088a9S/AQU9GG7hrUSxXBmKfZMwNVUpbE
VyGisgBxmTI4OFgYn83GRW5InM4Ipuh16cxC79RSUgFrJqvTHJfb6NQcr211jdkOTKFFaiWr0Hqs
uaEKcrdSFPRyBHC2T+G40KIbEq72bKSFBIJkMm+Ebq4vaL5IhJYuND1v6XXq0ssSEgKD2Mh3tgvT
UMcoESEMjsPxeZML3ZRhKIsgZU+guBUaZMnQs7nSUw5oov5YGVbPjsUDGxkRyRttcdBGLK3afoSI
4tqLTm/X2DsRPrj0qFWqRKa+IG9T6Ko6Lz2S4wN9dfgZ+Ej0raifWfABOweYZ8VefD50vrdo/WRL
/fi2G1XuWmVeRnYrrdqeSmel+bgnSe3CbdJnU8Rdnq77Cy9o3WkfypQAE4j2rp9L86gTi5dWXAEX
QsFYJ8MO08KapHj5UKO1miiK/GCqbOsq11qrXSl2F+MuzNk/RCwZRasstIq4JS0B2oT0Vkv9wrcL
Nm/9s283n2NNJzfugqK8rlEJXLGhk1ZN0UUXYHbWTA5byr39zmDVWGQIsyknut4qBiE9yzK7nEMP
z9dJgZg2yG3cIKPnMQSnPFokObqSlLCGMqcPFqPX0weC1JXEcXFiOL40qUQCR9WiZur7iAoLrTFW
cTU8DC2dwk0otkJSfxn6/oknyzhFO010IuMVumz9qJuGCYOfZUh547Fz95VOj3gcQNxrOvu5VGjH
NVxjbWX2pdPTr+GzNw1Gp9zSltxTDSqtRQ6ywnEVaiugS32jMbY5BpWS5V0EVXY55DkVWqsPeCXh
RzVKew2kNJk1kYnrdUSGS80XkTwaE96yKzMlilMC6gVSW1/RpzVQVlQwNcNlKg3wOKYQHFbkVzBq
iSodu1oV+qt0lVHuy7lC2QMF6vm3/YCptJ/22CFrbOxzM9TnyG2L2QhIcZGNyqH3QTA3PfWkQLIu
Ik/ayWH70EohRW7r3mxp8AmkTUiKlA5Kr8429NGuXUXaFXkbLHIXQwuYrjPkoWwzDelYxnQre07d
0bIVO9ZKCQn1JbDVS3SPEhLatpimMWMWkQJeQz39Z+jwK6GD9cMulH8dm19S34sP/ZycZ6XRLR2x
/EvcwMLcHav6X/5C7vivyLfI2YOXEqAh0uI/5+Zl8DOQ6vQXXwLRQfhz1MBxCDPgJNEcLeB/fyRq
UEVc8D5uQLslulv4etAqSPW/z83Tbx3GIUh9YP8mekvlxq+D5ei05/noXVoNNeESSajneRvao2TI
C1a9DCps7CvboobpHipbHfYJjrULo6V475v6KkGEMg+srtn0MhOmBnp2iPJH303CiVbaFzZdJFM2
Q+cKAFS2/ytI5OejHKytAe1+l5tHK63pya6QFFmIumK1fcAKgQk9pUuwj7t9rPkXcUfne61DijeD
wV2rSgT+VXSoeT46DNIpNz19MiA35nbf7/vGPc+N4Foa2rU3ZEctcxBcYnMw+vDs5RyXGdm4Yqyg
/RoXVsp+OwFIfuKO7kOmCMGIFKfzWk7sNc2bW69H8pSCRl7FHjoV0iQw7QufSiLf1wgsf6bUnbTS
lBROZ5iwAehrJBhNo+wi22VHpYQG21pvZ7PWkf2gzXqkH3+i6XAwPBvT81KynAU37xHH3XiBwXN9
IllgN5BlQ37uXgyCsb0S/PT8XnU77LQdt77wIbrGquojP8uahRpjAV914XBZjTVpxMEKZkD8t4no
GUhzSpcZVrmtW14kVQ7dzR8WOTkMTaEzLond0wb/XfKHT7ZWUv1swOF7QlulAO2dmTQGokrInjzP
2WbCElgqVZQUwjUYu9G5rhQrYpgYr4IY9oWlujPHJDXjuc3tOJSPWQoDusXcuOg6Y+EVYErN1FPY
Tqo3jdwAjm5I3WTYWU/tQJWnuhrKE1+OzjvhyxxRUHY0Eoy616IOq7hJ/iS2GRtfHYAbV0+oEzso
wcVDoZNDbyiuVypLrdnkGBLSUO41+amV5MteJlNZHdBjLClFsOBV3SGKhFQLw2yHhQIUAnN7ptzY
nns/6tm5YlFUCW140xqsaymtkIP1WTo1FcxVnaF6Nkn4ABKxjWlqWatAoUSCSQtIhhb8qt8O+3a0
r3oHaENXGFN8ObylhS0W8Dw7XNVBsbcbTEhTXJ/JMQ3oKJjKsyLhMUqq4VgkAA4wYxzWdIvBNybA
WfSV4S3ow49OSi6Zqod3SRcEjRTug2JaF6mP07V+kWh4VPQ0j7B+PPugV6ajhLUz0u4yC9Z1ia/m
YCFqGcriJPSBHzTkJ1sGcjbWNNfn5MQKmQCniJ4tKz8PYgLcpIhWkGXX+Ujo7doU7mO32vS0waKK
lD/LNgX/sEHSNKT4lAXDjR4nBEo0O2OmHe6DsV5rNuKUqMb5BD3wmTY05SYoxn0LGm/iWzwXrkFV
ys7GMxXl+nxMu+c6H1HU+K2wWsLDQsuKwzDQNc0yjMd0CtNdC/ObsncfIr3cEKtA+hiGBHWhe+AD
WLXK1kPhtY+VNGRnvKXSOu9I6cUiKze4xpWdpfMOzLKapONpmcconqoGv1BMzmtzJGHZ59e9L29C
L+F2FyJ6spJlnaOut6m5zRpM3We47borlS2EwNrcN5pH1lRKVkZsj+TF0rUlO9hOSB7qGcfaDYW0
8SgoTVyVyDMmC+CI4KQqROjZkpKtcp85xPBOIf+duh35gjSWydXY4Vop5KMnW49oweFLdr02dc14
DrPjRk2zNbKQGch5hmcYH+uiYR7DzUPtkxlmD8aqZW4l8lIlAiXkTtmItqiw4ycV/T2Z1XYDFlI4
o8nqHJWI3xkdJAeIK0mVhmie0AfUuhwc0i5VKbXS8dKEwz5wwkfPInEYGDBUMvAYlGmog7kO2lhT
sq+MCHtAvTG1SU9NOCPcX9udimJsBBNEGYKtTp2Fx95Uk4lf5k9OgHqncSIcRsLPVltXa11gdmSo
8DhMyOQM9eqMvaWxKMJ6XQnGS+MKlk3YEHy1zXmDAQrPExs/ueIq9Wpdery6/aDg/iTvJBvgfSBT
tbTxIqMIsew7lLmg0lWUYEFLzp+3B9JJce4Swk0r4f9imySvm7CqF2qNDZVWdZeO8IvRMI6xXOt2
EE4ylfCUsYW7TCN8ZjrhOIOD64bls5lkjrqshSsNSooG8zKcaiQf4SzdpvJFa9RXNAfRk+Qp8szv
KnPiWUzU/4znfi2eo93gR6kgmoqrT/vgp//8xbiOD7/FdcpfNeTLmEYJpMWrJP7nuM7G/gJZvEqf
Ga5SSDV+DuxIFJkYj6v4nArR/NeBnUnEJ9JBGjxfeBN/KLD73gADow1MNkxbeF6BIv4msAsKXI2j
MJTndWxseKiMhdz441zSnetScpm2seWjxBrkJ5Zm4aGch2dlB7FKcYqn2pCv9ZR2Fa9v1q4/LkYV
mgq0G2daJiwPuhytKNzeGhaThyWN/nnUMkvX3qjTa0WVTObDSykwT+Q8VyZJQC09Dv1rVZWOoWlS
2u2oUTljpC5lX23QWtoXGkn6q06mwUpHGIu8MZjZRfMcNhq2rG7jTPzEGGZEgezZ3MK7lbwM1JF0
g4XreoykVSjpu9iS6aCMLxC4muxb60clU1YmQYsckp5K8jMKkOu8iFmVI2/uRWo790LMI8ySIq20
G+z4XkyfatdtZb3aAWo4K9u2oNZrBlusPYhpQUY4ZrpUWixT6TJfSfZ4hyMs3JsCA/IWjScisfpW
DdDbOaGMJpuRaB0Ez1HslXiXt/dpxzeqWh+5pBSX1CiUz6abXffETShkkAWkXoGSN4IA5cpeN4ux
kqLJQMdXkhgBHpi011TUkV0+piDHCnvOZen4EaE29BX/EsN5VLkZ4AYlQXKbNdegg9cpln64QmFH
0DbIseH87qUmuB5DIgjFlS0EF9zjylZOkogJxsfT0CbEX6KFBVtfJ5ggRfE+rI3PUhUcGFB9ii36
IRTsAz/JTloJHXPWeeYqAsGPhre9QqVRz/y06IAaxQ8a7VDzNLZgZgmr9Finv8BESTCq/nBfWAF1
qcHCm56/JXEerHtff8wbNKqKI91IoR4sDK2Yx4qHF6dtLAaDbUOdndFqe+vTe4qHJkPgz2E9zSzU
7H5GjSodqzN2OPeWTNIqjYo92+hTiB+PrSLdGmo+y+iImLgat8f3iivm8eXYtIdO8u9K4vuo656i
ql+zjzgfHOXaScd4wkpyYkj9XsY+w8t6G04/fpY0WOjNuIbQuEPDcdfShKE1gC3wdGmnvepfk4Ej
15f16RR9w+diSPZ25BPetCQbPHnDzuyOzuatE9inI/0lfRrTrXGr03iS4NOQjPtS6efofXZRgK+A
5ZTU+LVV6SDjRA6wQr5D+5e2behYGRoaDKUxXgY0xhTpuEePPwcUhyqERGg0bv00D6ZJX2O7KXHp
HUaDE8VEh5u6NPy2ypbs0ZUZ4RHfxc2pF1royjtQa+XFmMnnQHdXYzJe0i1675F8cBM6WZpqS8/Y
fPDrK1ymFizkm1rOj05m04pQJtvO8G8i1W+mpYQwo8VuhD7rOWrmxwZvi8o2rgdPPnFTFVkBbJgu
X4QIEjA7v9GsbJ202SVEj6Vl4gcVGskJLnMi3lvSzk0utYutpa8PgExz8AgxZjZ6wHyUBuoz/u7S
xMS+JFLiTemxQUvSZleDh2sjwj29SW1kMEgrMcBTaf8YsPrg5ZoClzLpAMI1LKdtFCjCWVaoxbzK
smVd2TdZV9/2Er61yNL1Ql/WNGcWABIGkHBqSuSS2yXCmzg90Vz1qiOcJ+CsT4uGhqBKwrAG6GvF
tCSfldWwCsWOJa6HFVI+eevH5lXSJFsi1Io9ENFnGPgY5eT3dQu/KhyaKyMMmlmFlVkh9xdlSUlx
oJuwTp21FOAPXVjxpZmAplFC9Vh68h1ugJtGNm5iA5l0EqK8wZBFNIsWDVQuv4nvy2i4yB33Qknz
k8aCV2f3T5qc7mqTxvM4evbEqJI7ZLLIAN+QmrgzWudOjuy1G+hMZR4TXlhrZ7VKSEVBFrsKnLG1
qCUBH5B+M+CeOV29xawGpQ/7JBnVlW4m5CDTcGngPIJaRIPSBtw6QVOs5eV5nvcgjMKTWmsweJUl
kuNclKMMeyOnKlzEMplJFw97rz3BL28j/HimRu7OtVJqJoqHn1MmZA/s5fHssMluu0+DCysRcCTe
S4Ovpndh0GdTM1PwY8K/FdUg5QavC56tGA4YCyxYOC8wL2lgPaeBQiOmDMqKlmqljvKpl1NVNkfy
+Zag7eSCu6MLAg9PG+sXdo54rsHgsGs1mY4DzB7WmGFivoB87FbGuBu4jy4oP25kdFNTkH9SwQDS
BQ0oFlyg/7+h3pdOTuE5+p2TKJakrx2l4rcvfcNX2T/2Rz8+0Jdeyt+wJjXJtdGw+k3o+PK1zoU1
6o+Ogn43qJsnnE8V6DOigZIl33n9+cunOEu9L7+WhFoXow180FQkufxQXyNW/WqYfm0gfnyNF0fa
uN8Zt35/nHdX8Jg1aV1i+OrhHPt1WVSYZryLnn9lCL45wLshoIlTJ7lJD/g31872kbQmFMiXn9eO
1v/5a/9Ve1rumwVCRTS5/p4h+OY474aAUi01YRMXEvHDlX4zEvTBO1jOKa+/f81A/98aCVOldP16
i755Tf/I+yC8dSHhqSSQXn6+GQnq6tgBaBa986+/Zw/zv/I+fHMvjy+eyOsn3mjeZUZCZM0/+kyo
lGxxffhyz78ZCWYGg9eDaYE2UvHz+hD+rmfid/zR3yfbqR/ETy/TbHCsXu7k69zxm3/wNgF9f4Av
E4sYLWaPd38nJt3XI7+OqPj3396N9cvc99Uv3+bCl9N8+fiX6/v+zO/O9XZRb/+5CrC5LB/94eUX
bxP47pAwT18euMEHL/t0kT1BGfOa4/huEjQ1oEkIOX7+Yt+5Wv/9afiN83zaH5/K7NOTsOt+zDhZ
9XbYlwHjTFhMv/3XLy5Sv+tMexapOvu0ZxY6vB3tywle17WPXsqr2yin2AGkwpT7HUCd1RNYFBP+
R88C9eoiSw7vPb95+yBKiMzMy2v5jw/SrDmU9fHtOK/DQ0/Nn/HFbw4xtuxP7w7+Ze4w/oRvLh7Y
7BMtywF52K8v4O0cf8IjxDk+nTSHd+HA2+H/pHfhJKt++nfxLpw9Zu8e07fziLLqB2+yuIwXa7af
/uvh/VP6dhLm8g+f5AuM8NPFIfnpP8r308fbeZjCP3yeAy/DT//2diDxyL4dndDxo0dfHUvxrlWf
tkF5+JXB+hNe6v2P/YY/eL+ZX48l89Hx3cT6NkpUwz86Sq9uf9/NrF/OYP4Jb/fv8RP84Chxit/j
fvHRs/xBZucHT8dqcXP0fmkiEfHaR+/77yIwfvAKVgem9e1hyMq37/vVKy6IjB+9iN/sMP3gBcx/
Q1r74cP/drnmg6f4LXbSBw8/OWRl8/hLa7b1JyyqP5InffCLv8XIb8/glwfzbYf80QdzcigPPnHk
14enexmZtfBjo7DisBUSW/GPnugfRc3/cPh+aUvy9zzO9xuVt/zML33s/SZM/MVjfDyUf/tvAAAA
//8=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hyperlink" Target="#'Dashboard graphique'!A1"/></Relationships>
</file>

<file path=xl/drawings/drawing1.xml><?xml version="1.0" encoding="utf-8"?>
<xdr:wsDr xmlns:xdr="http://schemas.openxmlformats.org/drawingml/2006/spreadsheetDrawing" xmlns:a="http://schemas.openxmlformats.org/drawingml/2006/main">
  <xdr:twoCellAnchor>
    <xdr:from>
      <xdr:col>4</xdr:col>
      <xdr:colOff>190500</xdr:colOff>
      <xdr:row>0</xdr:row>
      <xdr:rowOff>123825</xdr:rowOff>
    </xdr:from>
    <xdr:to>
      <xdr:col>9</xdr:col>
      <xdr:colOff>209550</xdr:colOff>
      <xdr:row>9</xdr:row>
      <xdr:rowOff>123825</xdr:rowOff>
    </xdr:to>
    <xdr:graphicFrame macro="">
      <xdr:nvGraphicFramePr>
        <xdr:cNvPr id="5" name="Chart 4">
          <a:extLst>
            <a:ext uri="{FF2B5EF4-FFF2-40B4-BE49-F238E27FC236}">
              <a16:creationId xmlns:a16="http://schemas.microsoft.com/office/drawing/2014/main" id="{0FA6B9C8-231C-4AB0-9E62-A4DA76CF3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361950</xdr:colOff>
      <xdr:row>0</xdr:row>
      <xdr:rowOff>152401</xdr:rowOff>
    </xdr:from>
    <xdr:to>
      <xdr:col>15</xdr:col>
      <xdr:colOff>571499</xdr:colOff>
      <xdr:row>8</xdr:row>
      <xdr:rowOff>133351</xdr:rowOff>
    </xdr:to>
    <xdr:graphicFrame macro="">
      <xdr:nvGraphicFramePr>
        <xdr:cNvPr id="7" name="Chart 6">
          <a:extLst>
            <a:ext uri="{FF2B5EF4-FFF2-40B4-BE49-F238E27FC236}">
              <a16:creationId xmlns:a16="http://schemas.microsoft.com/office/drawing/2014/main" id="{AAFC67A4-6B3E-414E-9DB4-F1620284D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285750</xdr:colOff>
      <xdr:row>10</xdr:row>
      <xdr:rowOff>142874</xdr:rowOff>
    </xdr:from>
    <xdr:to>
      <xdr:col>9</xdr:col>
      <xdr:colOff>466726</xdr:colOff>
      <xdr:row>19</xdr:row>
      <xdr:rowOff>104775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00CF39C-538D-4C48-A221-E5CF467552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14550" y="2047874"/>
              <a:ext cx="3838576" cy="1676401"/>
            </a:xfrm>
            <a:prstGeom prst="rect">
              <a:avLst/>
            </a:prstGeom>
            <a:solidFill>
              <a:prstClr val="white"/>
            </a:solidFill>
            <a:ln w="1">
              <a:solidFill>
                <a:prstClr val="green"/>
              </a:solidFill>
            </a:ln>
          </xdr:spPr>
          <xdr:txBody>
            <a:bodyPr vertOverflow="clip" horzOverflow="clip"/>
            <a:lstStyle/>
            <a:p>
              <a:r>
                <a:rPr lang="es-DO"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304800</xdr:colOff>
      <xdr:row>10</xdr:row>
      <xdr:rowOff>9526</xdr:rowOff>
    </xdr:from>
    <xdr:to>
      <xdr:col>16</xdr:col>
      <xdr:colOff>38100</xdr:colOff>
      <xdr:row>19</xdr:row>
      <xdr:rowOff>104775</xdr:rowOff>
    </xdr:to>
    <xdr:graphicFrame macro="">
      <xdr:nvGraphicFramePr>
        <xdr:cNvPr id="6" name="Chart 5">
          <a:extLst>
            <a:ext uri="{FF2B5EF4-FFF2-40B4-BE49-F238E27FC236}">
              <a16:creationId xmlns:a16="http://schemas.microsoft.com/office/drawing/2014/main" id="{9511E1C0-EE77-4011-AF56-DE71B92CE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428625</xdr:colOff>
      <xdr:row>4</xdr:row>
      <xdr:rowOff>104775</xdr:rowOff>
    </xdr:from>
    <xdr:to>
      <xdr:col>20</xdr:col>
      <xdr:colOff>47625</xdr:colOff>
      <xdr:row>14</xdr:row>
      <xdr:rowOff>66675</xdr:rowOff>
    </xdr:to>
    <xdr:graphicFrame macro="">
      <xdr:nvGraphicFramePr>
        <xdr:cNvPr id="9" name="Chart 8">
          <a:extLst>
            <a:ext uri="{FF2B5EF4-FFF2-40B4-BE49-F238E27FC236}">
              <a16:creationId xmlns:a16="http://schemas.microsoft.com/office/drawing/2014/main" id="{95828640-E1A3-4A91-927A-5C1DB8D7F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95250</xdr:colOff>
      <xdr:row>1</xdr:row>
      <xdr:rowOff>180975</xdr:rowOff>
    </xdr:from>
    <xdr:to>
      <xdr:col>2</xdr:col>
      <xdr:colOff>266700</xdr:colOff>
      <xdr:row>12</xdr:row>
      <xdr:rowOff>28574</xdr:rowOff>
    </xdr:to>
    <mc:AlternateContent xmlns:mc="http://schemas.openxmlformats.org/markup-compatibility/2006">
      <mc:Choice xmlns:a14="http://schemas.microsoft.com/office/drawing/2010/main" Requires="a14">
        <xdr:graphicFrame macro="">
          <xdr:nvGraphicFramePr>
            <xdr:cNvPr id="18" name="Produit">
              <a:extLst>
                <a:ext uri="{FF2B5EF4-FFF2-40B4-BE49-F238E27FC236}">
                  <a16:creationId xmlns:a16="http://schemas.microsoft.com/office/drawing/2014/main" id="{812FE689-40F5-4818-B622-130198CADD09}"/>
                </a:ext>
              </a:extLst>
            </xdr:cNvPr>
            <xdr:cNvGraphicFramePr/>
          </xdr:nvGraphicFramePr>
          <xdr:xfrm>
            <a:off x="0" y="0"/>
            <a:ext cx="0" cy="0"/>
          </xdr:xfrm>
          <a:graphic>
            <a:graphicData uri="http://schemas.microsoft.com/office/drawing/2010/slicer">
              <sle:slicer xmlns:sle="http://schemas.microsoft.com/office/drawing/2010/slicer" name="Produit"/>
            </a:graphicData>
          </a:graphic>
        </xdr:graphicFrame>
      </mc:Choice>
      <mc:Fallback>
        <xdr:sp macro="" textlink="">
          <xdr:nvSpPr>
            <xdr:cNvPr id="0" name=""/>
            <xdr:cNvSpPr>
              <a:spLocks noTextEdit="1"/>
            </xdr:cNvSpPr>
          </xdr:nvSpPr>
          <xdr:spPr>
            <a:xfrm>
              <a:off x="95250" y="371475"/>
              <a:ext cx="1390650" cy="1943099"/>
            </a:xfrm>
            <a:prstGeom prst="rect">
              <a:avLst/>
            </a:prstGeom>
            <a:solidFill>
              <a:prstClr val="white"/>
            </a:solidFill>
            <a:ln w="1">
              <a:solidFill>
                <a:prstClr val="green"/>
              </a:solidFill>
            </a:ln>
          </xdr:spPr>
          <xdr:txBody>
            <a:bodyPr vertOverflow="clip" horzOverflow="clip"/>
            <a:lstStyle/>
            <a:p>
              <a:r>
                <a:rPr lang="es-D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12</xdr:row>
      <xdr:rowOff>142876</xdr:rowOff>
    </xdr:from>
    <xdr:to>
      <xdr:col>2</xdr:col>
      <xdr:colOff>47625</xdr:colOff>
      <xdr:row>19</xdr:row>
      <xdr:rowOff>95250</xdr:rowOff>
    </xdr:to>
    <mc:AlternateContent xmlns:mc="http://schemas.openxmlformats.org/markup-compatibility/2006">
      <mc:Choice xmlns:a14="http://schemas.microsoft.com/office/drawing/2010/main" Requires="a14">
        <xdr:graphicFrame macro="">
          <xdr:nvGraphicFramePr>
            <xdr:cNvPr id="19" name="Vendeur">
              <a:extLst>
                <a:ext uri="{FF2B5EF4-FFF2-40B4-BE49-F238E27FC236}">
                  <a16:creationId xmlns:a16="http://schemas.microsoft.com/office/drawing/2014/main" id="{E76FE4B9-2348-47E3-8F57-1ADF3E7D932C}"/>
                </a:ext>
              </a:extLst>
            </xdr:cNvPr>
            <xdr:cNvGraphicFramePr/>
          </xdr:nvGraphicFramePr>
          <xdr:xfrm>
            <a:off x="0" y="0"/>
            <a:ext cx="0" cy="0"/>
          </xdr:xfrm>
          <a:graphic>
            <a:graphicData uri="http://schemas.microsoft.com/office/drawing/2010/slicer">
              <sle:slicer xmlns:sle="http://schemas.microsoft.com/office/drawing/2010/slicer" name="Vendeur"/>
            </a:graphicData>
          </a:graphic>
        </xdr:graphicFrame>
      </mc:Choice>
      <mc:Fallback>
        <xdr:sp macro="" textlink="">
          <xdr:nvSpPr>
            <xdr:cNvPr id="0" name=""/>
            <xdr:cNvSpPr>
              <a:spLocks noTextEdit="1"/>
            </xdr:cNvSpPr>
          </xdr:nvSpPr>
          <xdr:spPr>
            <a:xfrm>
              <a:off x="95250" y="2428876"/>
              <a:ext cx="1171575" cy="1285874"/>
            </a:xfrm>
            <a:prstGeom prst="rect">
              <a:avLst/>
            </a:prstGeom>
            <a:solidFill>
              <a:prstClr val="white"/>
            </a:solidFill>
            <a:ln w="1">
              <a:solidFill>
                <a:prstClr val="green"/>
              </a:solidFill>
            </a:ln>
          </xdr:spPr>
          <xdr:txBody>
            <a:bodyPr vertOverflow="clip" horzOverflow="clip"/>
            <a:lstStyle/>
            <a:p>
              <a:r>
                <a:rPr lang="es-D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333375</xdr:colOff>
      <xdr:row>2</xdr:row>
      <xdr:rowOff>9525</xdr:rowOff>
    </xdr:from>
    <xdr:to>
      <xdr:col>4</xdr:col>
      <xdr:colOff>76200</xdr:colOff>
      <xdr:row>9</xdr:row>
      <xdr:rowOff>142875</xdr:rowOff>
    </xdr:to>
    <mc:AlternateContent xmlns:mc="http://schemas.openxmlformats.org/markup-compatibility/2006">
      <mc:Choice xmlns:a14="http://schemas.microsoft.com/office/drawing/2010/main" Requires="a14">
        <xdr:graphicFrame macro="">
          <xdr:nvGraphicFramePr>
            <xdr:cNvPr id="20" name="Ville">
              <a:extLst>
                <a:ext uri="{FF2B5EF4-FFF2-40B4-BE49-F238E27FC236}">
                  <a16:creationId xmlns:a16="http://schemas.microsoft.com/office/drawing/2014/main" id="{2792E4E3-D3B2-46AC-B496-D6CA0643DC62}"/>
                </a:ext>
              </a:extLst>
            </xdr:cNvPr>
            <xdr:cNvGraphicFramePr/>
          </xdr:nvGraphicFramePr>
          <xdr:xfrm>
            <a:off x="0" y="0"/>
            <a:ext cx="0" cy="0"/>
          </xdr:xfrm>
          <a:graphic>
            <a:graphicData uri="http://schemas.microsoft.com/office/drawing/2010/slicer">
              <sle:slicer xmlns:sle="http://schemas.microsoft.com/office/drawing/2010/slicer" name="Ville"/>
            </a:graphicData>
          </a:graphic>
        </xdr:graphicFrame>
      </mc:Choice>
      <mc:Fallback>
        <xdr:sp macro="" textlink="">
          <xdr:nvSpPr>
            <xdr:cNvPr id="0" name=""/>
            <xdr:cNvSpPr>
              <a:spLocks noTextEdit="1"/>
            </xdr:cNvSpPr>
          </xdr:nvSpPr>
          <xdr:spPr>
            <a:xfrm>
              <a:off x="1552575" y="390525"/>
              <a:ext cx="962025" cy="1466850"/>
            </a:xfrm>
            <a:prstGeom prst="rect">
              <a:avLst/>
            </a:prstGeom>
            <a:solidFill>
              <a:prstClr val="white"/>
            </a:solidFill>
            <a:ln w="1">
              <a:solidFill>
                <a:prstClr val="green"/>
              </a:solidFill>
            </a:ln>
          </xdr:spPr>
          <xdr:txBody>
            <a:bodyPr vertOverflow="clip" horzOverflow="clip"/>
            <a:lstStyle/>
            <a:p>
              <a:r>
                <a:rPr lang="es-D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552450</xdr:colOff>
      <xdr:row>15</xdr:row>
      <xdr:rowOff>0</xdr:rowOff>
    </xdr:from>
    <xdr:to>
      <xdr:col>19</xdr:col>
      <xdr:colOff>466725</xdr:colOff>
      <xdr:row>28</xdr:row>
      <xdr:rowOff>19051</xdr:rowOff>
    </xdr:to>
    <mc:AlternateContent xmlns:mc="http://schemas.openxmlformats.org/markup-compatibility/2006">
      <mc:Choice xmlns:a14="http://schemas.microsoft.com/office/drawing/2010/main" Requires="a14">
        <xdr:graphicFrame macro="">
          <xdr:nvGraphicFramePr>
            <xdr:cNvPr id="21" name="Months (Date)">
              <a:extLst>
                <a:ext uri="{FF2B5EF4-FFF2-40B4-BE49-F238E27FC236}">
                  <a16:creationId xmlns:a16="http://schemas.microsoft.com/office/drawing/2014/main" id="{2CD9701D-5632-477C-B569-9D25102F9AD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0306050" y="2857500"/>
              <a:ext cx="1743075" cy="2495551"/>
            </a:xfrm>
            <a:prstGeom prst="rect">
              <a:avLst/>
            </a:prstGeom>
            <a:solidFill>
              <a:prstClr val="white"/>
            </a:solidFill>
            <a:ln w="1">
              <a:solidFill>
                <a:prstClr val="green"/>
              </a:solidFill>
            </a:ln>
          </xdr:spPr>
          <xdr:txBody>
            <a:bodyPr vertOverflow="clip" horzOverflow="clip"/>
            <a:lstStyle/>
            <a:p>
              <a:r>
                <a:rPr lang="es-D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47626</xdr:colOff>
      <xdr:row>3</xdr:row>
      <xdr:rowOff>142875</xdr:rowOff>
    </xdr:from>
    <xdr:to>
      <xdr:col>2</xdr:col>
      <xdr:colOff>257176</xdr:colOff>
      <xdr:row>5</xdr:row>
      <xdr:rowOff>57150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B9122D43-9FE8-5922-0085-5DCE16852A3B}"/>
            </a:ext>
          </a:extLst>
        </xdr:cNvPr>
        <xdr:cNvSpPr/>
      </xdr:nvSpPr>
      <xdr:spPr>
        <a:xfrm>
          <a:off x="657226" y="714375"/>
          <a:ext cx="819150" cy="295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DO" sz="1400"/>
            <a:t>Accueil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jeev Belval" refreshedDate="46264.901229629628" createdVersion="8" refreshedVersion="8" minRefreshableVersion="3" recordCount="49" xr:uid="{D5251AF9-BF92-4565-A42B-397CF23FF8B6}">
  <cacheSource type="worksheet">
    <worksheetSource name="Tabla1"/>
  </cacheSource>
  <cacheFields count="9">
    <cacheField name="Date" numFmtId="164">
      <sharedItems containsSemiMixedTypes="0" containsNonDate="0" containsDate="1" containsString="0" minDate="2026-01-05T00:00:00" maxDate="2026-07-30T00:00:00" count="49">
        <d v="2026-01-05T00:00:00"/>
        <d v="2026-01-07T00:00:00"/>
        <d v="2026-01-10T00:00:00"/>
        <d v="2026-01-13T00:00:00"/>
        <d v="2026-01-18T00:00:00"/>
        <d v="2026-01-22T00:00:00"/>
        <d v="2026-01-25T00:00:00"/>
        <d v="2026-02-02T00:00:00"/>
        <d v="2026-02-05T00:00:00"/>
        <d v="2026-02-09T00:00:00"/>
        <d v="2026-02-12T00:00:00"/>
        <d v="2026-02-17T00:00:00"/>
        <d v="2026-02-20T00:00:00"/>
        <d v="2026-02-24T00:00:00"/>
        <d v="2026-03-03T00:00:00"/>
        <d v="2026-03-06T00:00:00"/>
        <d v="2026-03-09T00:00:00"/>
        <d v="2026-03-14T00:00:00"/>
        <d v="2026-03-19T00:00:00"/>
        <d v="2026-03-23T00:00:00"/>
        <d v="2026-03-28T00:00:00"/>
        <d v="2026-04-04T00:00:00"/>
        <d v="2026-04-08T00:00:00"/>
        <d v="2026-04-11T00:00:00"/>
        <d v="2026-04-15T00:00:00"/>
        <d v="2026-04-20T00:00:00"/>
        <d v="2026-04-24T00:00:00"/>
        <d v="2026-04-29T00:00:00"/>
        <d v="2026-05-02T00:00:00"/>
        <d v="2026-05-07T00:00:00"/>
        <d v="2026-05-10T00:00:00"/>
        <d v="2026-05-14T00:00:00"/>
        <d v="2026-05-19T00:00:00"/>
        <d v="2026-05-23T00:00:00"/>
        <d v="2026-05-28T00:00:00"/>
        <d v="2026-06-03T00:00:00"/>
        <d v="2026-06-06T00:00:00"/>
        <d v="2026-06-10T00:00:00"/>
        <d v="2026-06-15T00:00:00"/>
        <d v="2026-06-19T00:00:00"/>
        <d v="2026-06-23T00:00:00"/>
        <d v="2026-06-28T00:00:00"/>
        <d v="2026-07-03T00:00:00"/>
        <d v="2026-07-08T00:00:00"/>
        <d v="2026-07-12T00:00:00"/>
        <d v="2026-07-16T00:00:00"/>
        <d v="2026-07-21T00:00:00"/>
        <d v="2026-07-25T00:00:00"/>
        <d v="2026-07-29T00:00:00"/>
      </sharedItems>
      <fieldGroup par="8"/>
    </cacheField>
    <cacheField name="Produit" numFmtId="0">
      <sharedItems count="7">
        <s v="Ordinateur portable"/>
        <s v="Souris"/>
        <s v="Clavier"/>
        <s v="Écran 24 pouces"/>
        <s v="Casque audio"/>
        <s v="Imprimante"/>
        <s v="Webcam"/>
      </sharedItems>
    </cacheField>
    <cacheField name="Catégorie" numFmtId="0">
      <sharedItems/>
    </cacheField>
    <cacheField name="Vendeur" numFmtId="0">
      <sharedItems count="3">
        <s v="Jean"/>
        <s v="Marie"/>
        <s v="Carlos"/>
      </sharedItems>
    </cacheField>
    <cacheField name="Ville" numFmtId="0">
      <sharedItems count="4">
        <s v="Santiago"/>
        <s v="Santo Domingo"/>
        <s v="La Vega"/>
        <s v="Puerto Plata"/>
      </sharedItems>
    </cacheField>
    <cacheField name="Quantité" numFmtId="0">
      <sharedItems containsSemiMixedTypes="0" containsString="0" containsNumber="1" containsInteger="1" minValue="1" maxValue="15"/>
    </cacheField>
    <cacheField name="Prix unitaire (USD)" numFmtId="0">
      <sharedItems containsSemiMixedTypes="0" containsString="0" containsNumber="1" containsInteger="1" minValue="15" maxValue="450"/>
    </cacheField>
    <cacheField name="Montant de ventes" numFmtId="0">
      <sharedItems containsSemiMixedTypes="0" containsString="0" containsNumber="1" containsInteger="1" minValue="120" maxValue="1350" count="28">
        <n v="900"/>
        <n v="120"/>
        <n v="125"/>
        <n v="540"/>
        <n v="240"/>
        <n v="300"/>
        <n v="220"/>
        <n v="450"/>
        <n v="180"/>
        <n v="175"/>
        <n v="360"/>
        <n v="200"/>
        <n v="330"/>
        <n v="1350"/>
        <n v="150"/>
        <n v="225"/>
        <n v="720"/>
        <n v="320"/>
        <n v="385"/>
        <n v="275"/>
        <n v="165"/>
        <n v="250"/>
        <n v="480"/>
        <n v="440"/>
        <n v="210"/>
        <n v="400"/>
        <n v="495"/>
        <n v="195"/>
      </sharedItems>
    </cacheField>
    <cacheField name="Months (Date)" numFmtId="0" databaseField="0">
      <fieldGroup base="0">
        <rangePr groupBy="months" startDate="2026-01-05T00:00:00" endDate="2026-07-30T00:00:00"/>
        <groupItems count="14">
          <s v="&lt;5/1/2026"/>
          <s v="ene"/>
          <s v="feb"/>
          <s v="mar"/>
          <s v="abr"/>
          <s v="may"/>
          <s v="jun"/>
          <s v="jul"/>
          <s v="ago"/>
          <s v="sep"/>
          <s v="oct"/>
          <s v="nov"/>
          <s v="dic"/>
          <s v="&gt;30/7/2026"/>
        </groupItems>
      </fieldGroup>
    </cacheField>
  </cacheFields>
  <extLst>
    <ext xmlns:x14="http://schemas.microsoft.com/office/spreadsheetml/2009/9/main" uri="{725AE2AE-9491-48be-B2B4-4EB974FC3084}">
      <x14:pivotCacheDefinition pivotCacheId="250345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s v="Électronique"/>
    <x v="0"/>
    <x v="0"/>
    <n v="2"/>
    <n v="450"/>
    <x v="0"/>
  </r>
  <r>
    <x v="1"/>
    <x v="1"/>
    <s v="Accessoires"/>
    <x v="1"/>
    <x v="1"/>
    <n v="8"/>
    <n v="15"/>
    <x v="1"/>
  </r>
  <r>
    <x v="2"/>
    <x v="2"/>
    <s v="Accessoires"/>
    <x v="0"/>
    <x v="0"/>
    <n v="5"/>
    <n v="25"/>
    <x v="2"/>
  </r>
  <r>
    <x v="3"/>
    <x v="3"/>
    <s v="Électronique"/>
    <x v="2"/>
    <x v="2"/>
    <n v="3"/>
    <n v="180"/>
    <x v="3"/>
  </r>
  <r>
    <x v="4"/>
    <x v="4"/>
    <s v="Accessoires"/>
    <x v="1"/>
    <x v="1"/>
    <n v="6"/>
    <n v="40"/>
    <x v="4"/>
  </r>
  <r>
    <x v="5"/>
    <x v="5"/>
    <s v="Bureau"/>
    <x v="2"/>
    <x v="0"/>
    <n v="2"/>
    <n v="150"/>
    <x v="5"/>
  </r>
  <r>
    <x v="6"/>
    <x v="6"/>
    <s v="Accessoires"/>
    <x v="0"/>
    <x v="3"/>
    <n v="4"/>
    <n v="55"/>
    <x v="6"/>
  </r>
  <r>
    <x v="7"/>
    <x v="0"/>
    <s v="Électronique"/>
    <x v="2"/>
    <x v="1"/>
    <n v="1"/>
    <n v="450"/>
    <x v="7"/>
  </r>
  <r>
    <x v="8"/>
    <x v="1"/>
    <s v="Accessoires"/>
    <x v="0"/>
    <x v="2"/>
    <n v="12"/>
    <n v="15"/>
    <x v="8"/>
  </r>
  <r>
    <x v="9"/>
    <x v="2"/>
    <s v="Accessoires"/>
    <x v="1"/>
    <x v="0"/>
    <n v="7"/>
    <n v="25"/>
    <x v="9"/>
  </r>
  <r>
    <x v="10"/>
    <x v="3"/>
    <s v="Électronique"/>
    <x v="0"/>
    <x v="0"/>
    <n v="2"/>
    <n v="180"/>
    <x v="10"/>
  </r>
  <r>
    <x v="11"/>
    <x v="4"/>
    <s v="Accessoires"/>
    <x v="2"/>
    <x v="3"/>
    <n v="5"/>
    <n v="40"/>
    <x v="11"/>
  </r>
  <r>
    <x v="12"/>
    <x v="5"/>
    <s v="Bureau"/>
    <x v="1"/>
    <x v="1"/>
    <n v="3"/>
    <n v="150"/>
    <x v="7"/>
  </r>
  <r>
    <x v="13"/>
    <x v="6"/>
    <s v="Accessoires"/>
    <x v="2"/>
    <x v="2"/>
    <n v="6"/>
    <n v="55"/>
    <x v="12"/>
  </r>
  <r>
    <x v="14"/>
    <x v="0"/>
    <s v="Électronique"/>
    <x v="1"/>
    <x v="0"/>
    <n v="3"/>
    <n v="450"/>
    <x v="13"/>
  </r>
  <r>
    <x v="15"/>
    <x v="1"/>
    <s v="Accessoires"/>
    <x v="2"/>
    <x v="3"/>
    <n v="10"/>
    <n v="15"/>
    <x v="14"/>
  </r>
  <r>
    <x v="16"/>
    <x v="2"/>
    <s v="Accessoires"/>
    <x v="0"/>
    <x v="1"/>
    <n v="9"/>
    <n v="25"/>
    <x v="15"/>
  </r>
  <r>
    <x v="17"/>
    <x v="3"/>
    <s v="Électronique"/>
    <x v="2"/>
    <x v="0"/>
    <n v="4"/>
    <n v="180"/>
    <x v="16"/>
  </r>
  <r>
    <x v="18"/>
    <x v="4"/>
    <s v="Accessoires"/>
    <x v="0"/>
    <x v="2"/>
    <n v="8"/>
    <n v="40"/>
    <x v="17"/>
  </r>
  <r>
    <x v="19"/>
    <x v="5"/>
    <s v="Bureau"/>
    <x v="2"/>
    <x v="3"/>
    <n v="2"/>
    <n v="150"/>
    <x v="5"/>
  </r>
  <r>
    <x v="20"/>
    <x v="6"/>
    <s v="Accessoires"/>
    <x v="1"/>
    <x v="1"/>
    <n v="7"/>
    <n v="55"/>
    <x v="18"/>
  </r>
  <r>
    <x v="21"/>
    <x v="0"/>
    <s v="Électronique"/>
    <x v="0"/>
    <x v="0"/>
    <n v="2"/>
    <n v="450"/>
    <x v="0"/>
  </r>
  <r>
    <x v="22"/>
    <x v="1"/>
    <s v="Accessoires"/>
    <x v="1"/>
    <x v="2"/>
    <n v="15"/>
    <n v="15"/>
    <x v="15"/>
  </r>
  <r>
    <x v="23"/>
    <x v="2"/>
    <s v="Accessoires"/>
    <x v="2"/>
    <x v="3"/>
    <n v="6"/>
    <n v="25"/>
    <x v="14"/>
  </r>
  <r>
    <x v="24"/>
    <x v="3"/>
    <s v="Électronique"/>
    <x v="0"/>
    <x v="1"/>
    <n v="3"/>
    <n v="180"/>
    <x v="3"/>
  </r>
  <r>
    <x v="25"/>
    <x v="4"/>
    <s v="Accessoires"/>
    <x v="2"/>
    <x v="0"/>
    <n v="9"/>
    <n v="40"/>
    <x v="10"/>
  </r>
  <r>
    <x v="26"/>
    <x v="5"/>
    <s v="Bureau"/>
    <x v="1"/>
    <x v="2"/>
    <n v="2"/>
    <n v="150"/>
    <x v="5"/>
  </r>
  <r>
    <x v="27"/>
    <x v="6"/>
    <s v="Accessoires"/>
    <x v="0"/>
    <x v="3"/>
    <n v="5"/>
    <n v="55"/>
    <x v="19"/>
  </r>
  <r>
    <x v="28"/>
    <x v="0"/>
    <s v="Électronique"/>
    <x v="2"/>
    <x v="1"/>
    <n v="2"/>
    <n v="450"/>
    <x v="0"/>
  </r>
  <r>
    <x v="29"/>
    <x v="1"/>
    <s v="Accessoires"/>
    <x v="0"/>
    <x v="0"/>
    <n v="11"/>
    <n v="15"/>
    <x v="20"/>
  </r>
  <r>
    <x v="30"/>
    <x v="2"/>
    <s v="Accessoires"/>
    <x v="1"/>
    <x v="2"/>
    <n v="10"/>
    <n v="25"/>
    <x v="21"/>
  </r>
  <r>
    <x v="31"/>
    <x v="3"/>
    <s v="Électronique"/>
    <x v="2"/>
    <x v="3"/>
    <n v="2"/>
    <n v="180"/>
    <x v="10"/>
  </r>
  <r>
    <x v="32"/>
    <x v="4"/>
    <s v="Accessoires"/>
    <x v="0"/>
    <x v="1"/>
    <n v="12"/>
    <n v="40"/>
    <x v="22"/>
  </r>
  <r>
    <x v="33"/>
    <x v="5"/>
    <s v="Bureau"/>
    <x v="2"/>
    <x v="0"/>
    <n v="3"/>
    <n v="150"/>
    <x v="7"/>
  </r>
  <r>
    <x v="34"/>
    <x v="6"/>
    <s v="Accessoires"/>
    <x v="1"/>
    <x v="2"/>
    <n v="8"/>
    <n v="55"/>
    <x v="23"/>
  </r>
  <r>
    <x v="35"/>
    <x v="0"/>
    <s v="Électronique"/>
    <x v="1"/>
    <x v="3"/>
    <n v="1"/>
    <n v="450"/>
    <x v="7"/>
  </r>
  <r>
    <x v="36"/>
    <x v="1"/>
    <s v="Accessoires"/>
    <x v="2"/>
    <x v="1"/>
    <n v="14"/>
    <n v="15"/>
    <x v="24"/>
  </r>
  <r>
    <x v="37"/>
    <x v="2"/>
    <s v="Accessoires"/>
    <x v="0"/>
    <x v="0"/>
    <n v="8"/>
    <n v="25"/>
    <x v="11"/>
  </r>
  <r>
    <x v="38"/>
    <x v="3"/>
    <s v="Électronique"/>
    <x v="1"/>
    <x v="2"/>
    <n v="3"/>
    <n v="180"/>
    <x v="3"/>
  </r>
  <r>
    <x v="39"/>
    <x v="4"/>
    <s v="Accessoires"/>
    <x v="2"/>
    <x v="3"/>
    <n v="10"/>
    <n v="40"/>
    <x v="25"/>
  </r>
  <r>
    <x v="40"/>
    <x v="5"/>
    <s v="Bureau"/>
    <x v="0"/>
    <x v="1"/>
    <n v="2"/>
    <n v="150"/>
    <x v="5"/>
  </r>
  <r>
    <x v="41"/>
    <x v="6"/>
    <s v="Accessoires"/>
    <x v="2"/>
    <x v="0"/>
    <n v="9"/>
    <n v="55"/>
    <x v="26"/>
  </r>
  <r>
    <x v="42"/>
    <x v="0"/>
    <s v="Électronique"/>
    <x v="0"/>
    <x v="2"/>
    <n v="2"/>
    <n v="450"/>
    <x v="0"/>
  </r>
  <r>
    <x v="43"/>
    <x v="1"/>
    <s v="Accessoires"/>
    <x v="1"/>
    <x v="3"/>
    <n v="13"/>
    <n v="15"/>
    <x v="27"/>
  </r>
  <r>
    <x v="44"/>
    <x v="2"/>
    <s v="Accessoires"/>
    <x v="2"/>
    <x v="1"/>
    <n v="11"/>
    <n v="25"/>
    <x v="19"/>
  </r>
  <r>
    <x v="45"/>
    <x v="3"/>
    <s v="Électronique"/>
    <x v="0"/>
    <x v="0"/>
    <n v="2"/>
    <n v="180"/>
    <x v="10"/>
  </r>
  <r>
    <x v="46"/>
    <x v="4"/>
    <s v="Accessoires"/>
    <x v="1"/>
    <x v="2"/>
    <n v="11"/>
    <n v="40"/>
    <x v="23"/>
  </r>
  <r>
    <x v="47"/>
    <x v="5"/>
    <s v="Bureau"/>
    <x v="2"/>
    <x v="3"/>
    <n v="3"/>
    <n v="150"/>
    <x v="7"/>
  </r>
  <r>
    <x v="48"/>
    <x v="6"/>
    <s v="Accessoires"/>
    <x v="0"/>
    <x v="1"/>
    <n v="7"/>
    <n v="55"/>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EF748-CC5A-411C-A36F-5510F558D2A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8">
        <item h="1" x="4"/>
        <item h="1" x="2"/>
        <item h="1" x="3"/>
        <item x="5"/>
        <item h="1" x="0"/>
        <item h="1" x="1"/>
        <item h="1" x="6"/>
        <item t="default"/>
      </items>
    </pivotField>
    <pivotField showAll="0"/>
    <pivotField showAll="0">
      <items count="4">
        <item x="2"/>
        <item x="0"/>
        <item x="1"/>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5">
    <i>
      <x v="2"/>
    </i>
    <i>
      <x v="3"/>
    </i>
    <i>
      <x v="1"/>
    </i>
    <i>
      <x/>
    </i>
    <i t="grand">
      <x/>
    </i>
  </rowItems>
  <colItems count="1">
    <i/>
  </colItems>
  <dataFields count="1">
    <dataField name="Sum of Montant de vent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C84480-5D84-4C20-90B9-E3E40D69005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45:D47" firstHeaderRow="1"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sortType="descending">
      <items count="8">
        <item h="1" x="4"/>
        <item h="1" x="2"/>
        <item h="1" x="3"/>
        <item x="5"/>
        <item h="1" x="0"/>
        <item h="1" x="1"/>
        <item h="1" x="6"/>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items count="5">
        <item x="2"/>
        <item x="3"/>
        <item x="0"/>
        <item x="1"/>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1"/>
  </rowFields>
  <rowItems count="2">
    <i>
      <x v="3"/>
    </i>
    <i t="grand">
      <x/>
    </i>
  </rowItems>
  <colItems count="1">
    <i/>
  </colItems>
  <dataFields count="1">
    <dataField name="Sum of Montant de ventes" fld="7" baseField="0" baseItem="0"/>
  </dataFields>
  <chartFormats count="2">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ABE5D3-5F04-4B54-9CDE-E4E705E69A6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2:F36" firstHeaderRow="1"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8">
        <item h="1" x="4"/>
        <item h="1" x="2"/>
        <item h="1" x="3"/>
        <item x="5"/>
        <item h="1" x="0"/>
        <item h="1" x="1"/>
        <item h="1" x="6"/>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4">
    <i>
      <x/>
    </i>
    <i>
      <x v="2"/>
    </i>
    <i>
      <x v="1"/>
    </i>
    <i t="grand">
      <x/>
    </i>
  </rowItems>
  <colItems count="1">
    <i/>
  </colItems>
  <dataFields count="1">
    <dataField name="Sum of Montant de ventes" fld="7"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F5874D-D538-4A15-A2D2-3D6D6C0F59A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23" firstHeaderRow="1"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8">
        <item h="1" x="4"/>
        <item h="1" x="2"/>
        <item h="1" x="3"/>
        <item x="5"/>
        <item h="1" x="0"/>
        <item h="1" x="1"/>
        <item h="1" x="6"/>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4">
    <i>
      <x/>
    </i>
    <i>
      <x v="2"/>
    </i>
    <i>
      <x v="1"/>
    </i>
    <i t="grand">
      <x/>
    </i>
  </rowItems>
  <colItems count="1">
    <i/>
  </colItems>
  <dataFields count="1">
    <dataField name="Sum of Montant de vent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41FD3C-FDC0-421E-B955-C17B54D0D8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9" firstHeaderRow="1"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sortType="descending">
      <items count="8">
        <item h="1" x="4"/>
        <item h="1" x="2"/>
        <item h="1" x="3"/>
        <item x="5"/>
        <item h="1" x="0"/>
        <item h="1" x="1"/>
        <item h="1" x="6"/>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items count="5">
        <item x="2"/>
        <item x="3"/>
        <item x="0"/>
        <item x="1"/>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Quantité"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48C56F-5ECD-4B93-92DA-8F3AF9E9DA0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7:E9" firstHeaderRow="1"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sortType="descending">
      <items count="8">
        <item h="1" x="4"/>
        <item h="1" x="2"/>
        <item h="1" x="3"/>
        <item x="5"/>
        <item h="1" x="0"/>
        <item h="1" x="1"/>
        <item h="1" x="6"/>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items count="5">
        <item x="2"/>
        <item x="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Montant de ventes" fld="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B2412C-BD99-406F-B20A-67EDCD804EC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29:D37" firstHeaderRow="1"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8">
        <item h="1" x="4"/>
        <item h="1" x="2"/>
        <item h="1" x="3"/>
        <item x="5"/>
        <item h="1" x="0"/>
        <item h="1" x="1"/>
        <item h="1" x="6"/>
        <item t="default"/>
      </items>
    </pivotField>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dataField="1" showAll="0">
      <items count="29">
        <item x="1"/>
        <item x="2"/>
        <item x="14"/>
        <item x="20"/>
        <item x="9"/>
        <item x="8"/>
        <item x="27"/>
        <item x="11"/>
        <item x="24"/>
        <item x="6"/>
        <item x="15"/>
        <item x="4"/>
        <item x="21"/>
        <item x="19"/>
        <item x="5"/>
        <item x="17"/>
        <item x="12"/>
        <item x="10"/>
        <item x="18"/>
        <item x="25"/>
        <item x="23"/>
        <item x="7"/>
        <item x="22"/>
        <item x="26"/>
        <item x="3"/>
        <item x="16"/>
        <item x="0"/>
        <item x="13"/>
        <item t="default"/>
      </items>
    </pivotField>
    <pivotField axis="axisRow" showAll="0">
      <items count="15">
        <item x="0"/>
        <item x="1"/>
        <item x="2"/>
        <item x="3"/>
        <item x="4"/>
        <item x="5"/>
        <item x="6"/>
        <item x="7"/>
        <item x="8"/>
        <item x="9"/>
        <item x="10"/>
        <item x="11"/>
        <item x="12"/>
        <item x="13"/>
        <item t="default"/>
      </items>
    </pivotField>
  </pivotFields>
  <rowFields count="1">
    <field x="8"/>
  </rowFields>
  <rowItems count="8">
    <i>
      <x v="1"/>
    </i>
    <i>
      <x v="2"/>
    </i>
    <i>
      <x v="3"/>
    </i>
    <i>
      <x v="4"/>
    </i>
    <i>
      <x v="5"/>
    </i>
    <i>
      <x v="6"/>
    </i>
    <i>
      <x v="7"/>
    </i>
    <i t="grand">
      <x/>
    </i>
  </rowItems>
  <colItems count="1">
    <i/>
  </colItems>
  <dataFields count="1">
    <dataField name="Sum of Montant de ventes"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4823F5-52CB-447E-90E5-F62F0C8D704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4:I38" firstHeaderRow="1"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8">
        <item h="1" x="4"/>
        <item h="1" x="2"/>
        <item h="1" x="3"/>
        <item x="5"/>
        <item h="1" x="0"/>
        <item h="1" x="1"/>
        <item h="1" x="6"/>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4">
    <i>
      <x/>
    </i>
    <i>
      <x v="2"/>
    </i>
    <i>
      <x v="1"/>
    </i>
    <i t="grand">
      <x/>
    </i>
  </rowItems>
  <colItems count="1">
    <i/>
  </colItems>
  <dataFields count="1">
    <dataField name="Sum of Montant de ventes" fld="7"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A654B9-141C-49D1-8DC3-92644D4154A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1:H25" firstHeaderRow="0" firstDataRow="1" firstDataCol="1"/>
  <pivotFields count="9">
    <pivotField numFmtId="164"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items count="8">
        <item h="1" x="4"/>
        <item h="1" x="2"/>
        <item h="1" x="3"/>
        <item x="5"/>
        <item h="1" x="0"/>
        <item h="1" x="1"/>
        <item h="1" x="6"/>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dataField="1" showAll="0"/>
    <pivotField showAll="0"/>
    <pivotField dataField="1" showAll="0">
      <items count="29">
        <item x="1"/>
        <item x="2"/>
        <item x="14"/>
        <item x="20"/>
        <item x="9"/>
        <item x="8"/>
        <item x="27"/>
        <item x="11"/>
        <item x="24"/>
        <item x="6"/>
        <item x="15"/>
        <item x="4"/>
        <item x="21"/>
        <item x="19"/>
        <item x="5"/>
        <item x="17"/>
        <item x="12"/>
        <item x="10"/>
        <item x="18"/>
        <item x="25"/>
        <item x="23"/>
        <item x="7"/>
        <item x="22"/>
        <item x="26"/>
        <item x="3"/>
        <item x="16"/>
        <item x="0"/>
        <item x="13"/>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2"/>
    </i>
    <i>
      <x v="1"/>
    </i>
    <i t="grand">
      <x/>
    </i>
  </rowItems>
  <colFields count="1">
    <field x="-2"/>
  </colFields>
  <colItems count="2">
    <i>
      <x/>
    </i>
    <i i="1">
      <x v="1"/>
    </i>
  </colItems>
  <dataFields count="2">
    <dataField name="Sum of Montant de ventes" fld="7" baseField="0" baseItem="0"/>
    <dataField name="Sum of Quantité"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it" xr10:uid="{D152F3CB-EA80-42F1-803F-C9CB532B4C6B}" sourceName="Produit">
  <pivotTables>
    <pivotTable tabId="5" name="PivotTable1"/>
    <pivotTable tabId="6" name="PivotTable6"/>
    <pivotTable tabId="5" name="PivotTable10"/>
    <pivotTable tabId="5" name="PivotTable12"/>
    <pivotTable tabId="5" name="PivotTable2"/>
    <pivotTable tabId="5" name="PivotTable3"/>
    <pivotTable tabId="5" name="PivotTable5"/>
    <pivotTable tabId="5" name="PivotTable6"/>
    <pivotTable tabId="5" name="PivotTable8"/>
  </pivotTables>
  <data>
    <tabular pivotCacheId="250345082">
      <items count="7">
        <i x="4"/>
        <i x="2"/>
        <i x="3"/>
        <i x="5" s="1"/>
        <i x="0"/>
        <i x="1"/>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eur" xr10:uid="{8FEE48AE-E6AC-4B56-B82C-3569EBA27273}" sourceName="Vendeur">
  <pivotTables>
    <pivotTable tabId="5" name="PivotTable1"/>
    <pivotTable tabId="6" name="PivotTable6"/>
    <pivotTable tabId="5" name="PivotTable10"/>
    <pivotTable tabId="5" name="PivotTable12"/>
    <pivotTable tabId="5" name="PivotTable2"/>
    <pivotTable tabId="5" name="PivotTable3"/>
    <pivotTable tabId="5" name="PivotTable5"/>
    <pivotTable tabId="5" name="PivotTable6"/>
    <pivotTable tabId="5" name="PivotTable8"/>
  </pivotTables>
  <data>
    <tabular pivotCacheId="25034508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lle" xr10:uid="{69965EE7-7647-4D33-A169-DBF1AB787F42}" sourceName="Ville">
  <pivotTables>
    <pivotTable tabId="5" name="PivotTable1"/>
    <pivotTable tabId="6" name="PivotTable6"/>
    <pivotTable tabId="5" name="PivotTable10"/>
    <pivotTable tabId="5" name="PivotTable12"/>
    <pivotTable tabId="5" name="PivotTable2"/>
    <pivotTable tabId="5" name="PivotTable3"/>
    <pivotTable tabId="5" name="PivotTable5"/>
    <pivotTable tabId="5" name="PivotTable6"/>
    <pivotTable tabId="5" name="PivotTable8"/>
  </pivotTables>
  <data>
    <tabular pivotCacheId="25034508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6D98787-1093-4111-8EDE-C7EE2439E964}" sourceName="Months (Date)">
  <pivotTables>
    <pivotTable tabId="5" name="PivotTable1"/>
    <pivotTable tabId="6" name="PivotTable6"/>
    <pivotTable tabId="5" name="PivotTable10"/>
    <pivotTable tabId="5" name="PivotTable12"/>
    <pivotTable tabId="5" name="PivotTable2"/>
    <pivotTable tabId="5" name="PivotTable3"/>
    <pivotTable tabId="5" name="PivotTable5"/>
    <pivotTable tabId="5" name="PivotTable6"/>
    <pivotTable tabId="5" name="PivotTable8"/>
  </pivotTables>
  <data>
    <tabular pivotCacheId="250345082">
      <items count="14">
        <i x="1" s="1"/>
        <i x="2" s="1"/>
        <i x="3" s="1"/>
        <i x="4" s="1"/>
        <i x="5" s="1"/>
        <i x="6" s="1"/>
        <i x="7" s="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it" xr10:uid="{F84AE780-F144-4677-BE52-2B1D0FC5405D}" cache="Slicer_Produit" caption="Produit" rowHeight="241300"/>
  <slicer name="Vendeur" xr10:uid="{A23885FA-38AE-4A8C-BC46-390DB512C0B5}" cache="Slicer_Vendeur" caption="Vendeur" rowHeight="241300"/>
  <slicer name="Ville" xr10:uid="{B7A46DE9-8918-4CF6-8314-04A86D1A6E31}" cache="Slicer_Ville" caption="Ville" rowHeight="241300"/>
  <slicer name="Months (Date)" xr10:uid="{03C1282D-24C6-44C4-B0DD-B5A1EF56E5C0}"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12DD47-5692-4562-A8EC-1050C5AB1B80}" name="Tabla1" displayName="Tabla1" ref="A1:H51" totalsRowCount="1" headerRowDxfId="6" headerRowBorderDxfId="5" tableBorderDxfId="4">
  <autoFilter ref="A1:H50" xr:uid="{4F12DD47-5692-4562-A8EC-1050C5AB1B80}"/>
  <tableColumns count="8">
    <tableColumn id="1" xr3:uid="{982F54CC-B29B-4EAD-8ED0-334CE9294F40}" name="Date" dataDxfId="3" totalsRowDxfId="2"/>
    <tableColumn id="2" xr3:uid="{1166A19B-65B2-4AB1-BD85-894B5FB14AC0}" name="Produit"/>
    <tableColumn id="3" xr3:uid="{8B3828F1-A2D5-4FCF-8E9E-13E3F80678F2}" name="Catégorie"/>
    <tableColumn id="4" xr3:uid="{DE8C1A76-3960-43B6-BDFA-AA57264FF3BB}" name="Vendeur"/>
    <tableColumn id="5" xr3:uid="{7024495C-2D18-49B6-B004-C685006FF91D}" name="Ville"/>
    <tableColumn id="6" xr3:uid="{85FC8824-CF58-4ED8-AF4F-EA3F568B514C}" name="Quantité"/>
    <tableColumn id="7" xr3:uid="{F6C26FEB-9B12-47F4-9882-C65B03F74040}" name="Prix unitaire (USD)"/>
    <tableColumn id="8" xr3:uid="{B0B4A6B5-6F08-4779-A5A6-600DDC5A5935}" name="Montant de ventes" totalsRowFunction="custom" dataDxfId="1" totalsRowDxfId="0">
      <calculatedColumnFormula>Tabla1[[#This Row],[Quantité]]*Tabla1[[#This Row],[Prix unitaire (USD)]]</calculatedColumnFormula>
      <totalsRowFormula>SUM(Tabla1[Montant de ventes])</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20176-FFC9-4B35-B62C-48C8B43BC06E}">
  <dimension ref="A3:H8"/>
  <sheetViews>
    <sheetView workbookViewId="0">
      <selection activeCell="D8" sqref="D8"/>
    </sheetView>
  </sheetViews>
  <sheetFormatPr defaultRowHeight="15" x14ac:dyDescent="0.25"/>
  <cols>
    <col min="1" max="1" width="14.5703125" bestFit="1" customWidth="1"/>
    <col min="2" max="2" width="24.85546875" bestFit="1" customWidth="1"/>
  </cols>
  <sheetData>
    <row r="3" spans="1:8" x14ac:dyDescent="0.25">
      <c r="A3" s="4" t="s">
        <v>46</v>
      </c>
      <c r="B3" t="s">
        <v>48</v>
      </c>
      <c r="D3" s="7" t="s">
        <v>52</v>
      </c>
      <c r="E3" s="7"/>
      <c r="F3" s="7"/>
      <c r="G3" t="s">
        <v>10</v>
      </c>
      <c r="H3">
        <v>6860</v>
      </c>
    </row>
    <row r="4" spans="1:8" x14ac:dyDescent="0.25">
      <c r="A4" s="5" t="s">
        <v>10</v>
      </c>
      <c r="B4" s="8">
        <v>750</v>
      </c>
    </row>
    <row r="5" spans="1:8" x14ac:dyDescent="0.25">
      <c r="A5" s="5" t="s">
        <v>14</v>
      </c>
      <c r="B5" s="8">
        <v>750</v>
      </c>
    </row>
    <row r="6" spans="1:8" x14ac:dyDescent="0.25">
      <c r="A6" s="5" t="s">
        <v>23</v>
      </c>
      <c r="B6" s="8">
        <v>750</v>
      </c>
    </row>
    <row r="7" spans="1:8" x14ac:dyDescent="0.25">
      <c r="A7" s="5" t="s">
        <v>18</v>
      </c>
      <c r="B7" s="8">
        <v>300</v>
      </c>
    </row>
    <row r="8" spans="1:8" x14ac:dyDescent="0.25">
      <c r="A8" s="5" t="s">
        <v>47</v>
      </c>
      <c r="B8" s="8">
        <v>2550</v>
      </c>
    </row>
  </sheetData>
  <mergeCells count="1">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598A-9E56-40BF-8E21-F85C302CA5F4}">
  <dimension ref="A1"/>
  <sheetViews>
    <sheetView tabSelected="1" workbookViewId="0">
      <selection activeCell="R3" sqref="R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8BF1-3366-427E-8523-097EB55347A5}">
  <dimension ref="C4:L47"/>
  <sheetViews>
    <sheetView workbookViewId="0">
      <selection activeCell="A9" sqref="A9"/>
    </sheetView>
  </sheetViews>
  <sheetFormatPr defaultRowHeight="15" x14ac:dyDescent="0.25"/>
  <cols>
    <col min="3" max="4" width="13.140625" bestFit="1" customWidth="1"/>
    <col min="5" max="7" width="24.85546875" bestFit="1" customWidth="1"/>
    <col min="8" max="8" width="13.140625" bestFit="1" customWidth="1"/>
    <col min="9" max="9" width="15.5703125" bestFit="1" customWidth="1"/>
    <col min="12" max="12" width="25.28515625" customWidth="1"/>
  </cols>
  <sheetData>
    <row r="4" spans="4:11" x14ac:dyDescent="0.25">
      <c r="D4" s="7" t="s">
        <v>49</v>
      </c>
      <c r="E4" s="7"/>
      <c r="F4" t="s">
        <v>7</v>
      </c>
      <c r="G4">
        <v>5850</v>
      </c>
    </row>
    <row r="6" spans="4:11" x14ac:dyDescent="0.25">
      <c r="H6" s="7" t="s">
        <v>50</v>
      </c>
      <c r="I6" s="7"/>
      <c r="J6" t="s">
        <v>11</v>
      </c>
      <c r="K6">
        <v>83</v>
      </c>
    </row>
    <row r="7" spans="4:11" x14ac:dyDescent="0.25">
      <c r="D7" s="4" t="s">
        <v>46</v>
      </c>
      <c r="E7" t="s">
        <v>48</v>
      </c>
      <c r="H7" s="4" t="s">
        <v>46</v>
      </c>
      <c r="I7" t="s">
        <v>51</v>
      </c>
    </row>
    <row r="8" spans="4:11" x14ac:dyDescent="0.25">
      <c r="D8" s="5" t="s">
        <v>20</v>
      </c>
      <c r="E8" s="8">
        <v>2550</v>
      </c>
      <c r="H8" s="5" t="s">
        <v>20</v>
      </c>
      <c r="I8" s="8">
        <v>17</v>
      </c>
    </row>
    <row r="9" spans="4:11" x14ac:dyDescent="0.25">
      <c r="D9" s="5" t="s">
        <v>47</v>
      </c>
      <c r="E9" s="8">
        <v>2550</v>
      </c>
      <c r="H9" s="5" t="s">
        <v>47</v>
      </c>
      <c r="I9" s="8">
        <v>17</v>
      </c>
    </row>
    <row r="19" spans="3:9" x14ac:dyDescent="0.25">
      <c r="D19" s="4" t="s">
        <v>46</v>
      </c>
      <c r="E19" t="s">
        <v>48</v>
      </c>
      <c r="F19" s="7" t="s">
        <v>53</v>
      </c>
      <c r="G19" s="7"/>
      <c r="H19" t="s">
        <v>17</v>
      </c>
      <c r="I19">
        <v>7040</v>
      </c>
    </row>
    <row r="20" spans="3:9" x14ac:dyDescent="0.25">
      <c r="D20" s="5" t="s">
        <v>17</v>
      </c>
      <c r="E20" s="8">
        <v>1500</v>
      </c>
    </row>
    <row r="21" spans="3:9" x14ac:dyDescent="0.25">
      <c r="D21" s="5" t="s">
        <v>13</v>
      </c>
      <c r="E21" s="8">
        <v>750</v>
      </c>
      <c r="F21" s="4" t="s">
        <v>46</v>
      </c>
      <c r="G21" t="s">
        <v>48</v>
      </c>
      <c r="H21" t="s">
        <v>51</v>
      </c>
    </row>
    <row r="22" spans="3:9" x14ac:dyDescent="0.25">
      <c r="D22" s="5" t="s">
        <v>9</v>
      </c>
      <c r="E22" s="8">
        <v>300</v>
      </c>
      <c r="F22" s="5" t="s">
        <v>17</v>
      </c>
      <c r="G22" s="8">
        <v>1500</v>
      </c>
      <c r="H22" s="8">
        <v>10</v>
      </c>
    </row>
    <row r="23" spans="3:9" x14ac:dyDescent="0.25">
      <c r="D23" s="5" t="s">
        <v>47</v>
      </c>
      <c r="E23" s="8">
        <v>2550</v>
      </c>
      <c r="F23" s="5" t="s">
        <v>13</v>
      </c>
      <c r="G23" s="8">
        <v>750</v>
      </c>
      <c r="H23" s="8">
        <v>5</v>
      </c>
    </row>
    <row r="24" spans="3:9" x14ac:dyDescent="0.25">
      <c r="F24" s="5" t="s">
        <v>9</v>
      </c>
      <c r="G24" s="8">
        <v>300</v>
      </c>
      <c r="H24" s="8">
        <v>2</v>
      </c>
    </row>
    <row r="25" spans="3:9" x14ac:dyDescent="0.25">
      <c r="F25" s="5" t="s">
        <v>47</v>
      </c>
      <c r="G25" s="8">
        <v>2550</v>
      </c>
      <c r="H25" s="8">
        <v>17</v>
      </c>
    </row>
    <row r="26" spans="3:9" x14ac:dyDescent="0.25">
      <c r="F26" s="7" t="s">
        <v>54</v>
      </c>
      <c r="G26" s="7"/>
    </row>
    <row r="29" spans="3:9" x14ac:dyDescent="0.25">
      <c r="C29" s="4" t="s">
        <v>46</v>
      </c>
      <c r="D29" t="s">
        <v>48</v>
      </c>
    </row>
    <row r="30" spans="3:9" x14ac:dyDescent="0.25">
      <c r="C30" s="5" t="s">
        <v>55</v>
      </c>
      <c r="D30" s="8">
        <v>300</v>
      </c>
    </row>
    <row r="31" spans="3:9" x14ac:dyDescent="0.25">
      <c r="C31" s="5" t="s">
        <v>56</v>
      </c>
      <c r="D31" s="8">
        <v>450</v>
      </c>
    </row>
    <row r="32" spans="3:9" x14ac:dyDescent="0.25">
      <c r="C32" s="5" t="s">
        <v>57</v>
      </c>
      <c r="D32" s="8">
        <v>300</v>
      </c>
      <c r="E32" s="4" t="s">
        <v>46</v>
      </c>
      <c r="F32" t="s">
        <v>48</v>
      </c>
    </row>
    <row r="33" spans="3:12" x14ac:dyDescent="0.25">
      <c r="C33" s="5" t="s">
        <v>58</v>
      </c>
      <c r="D33" s="8">
        <v>300</v>
      </c>
      <c r="E33" s="5" t="s">
        <v>17</v>
      </c>
      <c r="F33" s="8">
        <v>1500</v>
      </c>
    </row>
    <row r="34" spans="3:12" x14ac:dyDescent="0.25">
      <c r="C34" s="5" t="s">
        <v>59</v>
      </c>
      <c r="D34" s="8">
        <v>450</v>
      </c>
      <c r="E34" s="5" t="s">
        <v>13</v>
      </c>
      <c r="F34" s="8">
        <v>750</v>
      </c>
      <c r="H34" s="4" t="s">
        <v>46</v>
      </c>
      <c r="I34" t="s">
        <v>48</v>
      </c>
      <c r="K34" s="6" t="s">
        <v>46</v>
      </c>
      <c r="L34" s="6" t="s">
        <v>48</v>
      </c>
    </row>
    <row r="35" spans="3:12" x14ac:dyDescent="0.25">
      <c r="C35" s="5" t="s">
        <v>60</v>
      </c>
      <c r="D35" s="8">
        <v>300</v>
      </c>
      <c r="E35" s="5" t="s">
        <v>9</v>
      </c>
      <c r="F35" s="8">
        <v>300</v>
      </c>
      <c r="H35" s="5" t="s">
        <v>17</v>
      </c>
      <c r="I35" s="8">
        <v>1500</v>
      </c>
      <c r="K35" s="5" t="s">
        <v>10</v>
      </c>
      <c r="L35">
        <v>6860</v>
      </c>
    </row>
    <row r="36" spans="3:12" x14ac:dyDescent="0.25">
      <c r="C36" s="5" t="s">
        <v>61</v>
      </c>
      <c r="D36" s="8">
        <v>450</v>
      </c>
      <c r="E36" s="5" t="s">
        <v>47</v>
      </c>
      <c r="F36" s="8">
        <v>2550</v>
      </c>
      <c r="H36" s="5" t="s">
        <v>13</v>
      </c>
      <c r="I36" s="8">
        <v>750</v>
      </c>
      <c r="K36" s="5" t="s">
        <v>14</v>
      </c>
      <c r="L36">
        <v>4960</v>
      </c>
    </row>
    <row r="37" spans="3:12" x14ac:dyDescent="0.25">
      <c r="C37" s="5" t="s">
        <v>47</v>
      </c>
      <c r="D37" s="8">
        <v>2550</v>
      </c>
      <c r="H37" s="5" t="s">
        <v>9</v>
      </c>
      <c r="I37" s="8">
        <v>300</v>
      </c>
      <c r="K37" s="5" t="s">
        <v>18</v>
      </c>
      <c r="L37">
        <v>4465</v>
      </c>
    </row>
    <row r="38" spans="3:12" x14ac:dyDescent="0.25">
      <c r="H38" s="5" t="s">
        <v>47</v>
      </c>
      <c r="I38" s="8">
        <v>2550</v>
      </c>
      <c r="K38" s="5" t="s">
        <v>23</v>
      </c>
      <c r="L38">
        <v>3150</v>
      </c>
    </row>
    <row r="45" spans="3:12" x14ac:dyDescent="0.25">
      <c r="C45" s="4" t="s">
        <v>46</v>
      </c>
      <c r="D45" t="s">
        <v>48</v>
      </c>
    </row>
    <row r="46" spans="3:12" x14ac:dyDescent="0.25">
      <c r="C46" s="5" t="s">
        <v>20</v>
      </c>
      <c r="D46" s="8">
        <v>2550</v>
      </c>
    </row>
    <row r="47" spans="3:12" x14ac:dyDescent="0.25">
      <c r="C47" s="5" t="s">
        <v>47</v>
      </c>
      <c r="D47" s="8">
        <v>2550</v>
      </c>
    </row>
  </sheetData>
  <mergeCells count="4">
    <mergeCell ref="D4:E4"/>
    <mergeCell ref="H6:I6"/>
    <mergeCell ref="F19:G19"/>
    <mergeCell ref="F26:G26"/>
  </mergeCell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opLeftCell="A2" workbookViewId="0">
      <selection activeCell="C9" sqref="A2:H50"/>
    </sheetView>
  </sheetViews>
  <sheetFormatPr defaultColWidth="9.140625" defaultRowHeight="15" x14ac:dyDescent="0.25"/>
  <cols>
    <col min="1" max="1" width="26.5703125" customWidth="1"/>
    <col min="2" max="2" width="24.5703125" customWidth="1"/>
    <col min="3" max="3" width="21.7109375" customWidth="1"/>
    <col min="4" max="4" width="16" customWidth="1"/>
    <col min="5" max="5" width="17" customWidth="1"/>
    <col min="6" max="6" width="11" customWidth="1"/>
    <col min="7" max="7" width="19.5703125" customWidth="1"/>
    <col min="8" max="8" width="18.85546875" customWidth="1"/>
  </cols>
  <sheetData>
    <row r="1" spans="1:8" x14ac:dyDescent="0.25">
      <c r="A1" s="3" t="s">
        <v>0</v>
      </c>
      <c r="B1" s="3" t="s">
        <v>1</v>
      </c>
      <c r="C1" s="3" t="s">
        <v>2</v>
      </c>
      <c r="D1" s="3" t="s">
        <v>3</v>
      </c>
      <c r="E1" s="3" t="s">
        <v>4</v>
      </c>
      <c r="F1" s="3" t="s">
        <v>5</v>
      </c>
      <c r="G1" s="3" t="s">
        <v>6</v>
      </c>
      <c r="H1" s="3" t="s">
        <v>45</v>
      </c>
    </row>
    <row r="2" spans="1:8" x14ac:dyDescent="0.25">
      <c r="A2" s="2">
        <v>46027</v>
      </c>
      <c r="B2" t="s">
        <v>7</v>
      </c>
      <c r="C2" t="s">
        <v>8</v>
      </c>
      <c r="D2" t="s">
        <v>9</v>
      </c>
      <c r="E2" t="s">
        <v>10</v>
      </c>
      <c r="F2">
        <v>2</v>
      </c>
      <c r="G2">
        <v>450</v>
      </c>
      <c r="H2">
        <f>Tabla1[[#This Row],[Quantité]]*Tabla1[[#This Row],[Prix unitaire (USD)]]</f>
        <v>900</v>
      </c>
    </row>
    <row r="3" spans="1:8" x14ac:dyDescent="0.25">
      <c r="A3" s="2">
        <v>46029</v>
      </c>
      <c r="B3" t="s">
        <v>11</v>
      </c>
      <c r="C3" t="s">
        <v>12</v>
      </c>
      <c r="D3" t="s">
        <v>13</v>
      </c>
      <c r="E3" t="s">
        <v>14</v>
      </c>
      <c r="F3">
        <v>8</v>
      </c>
      <c r="G3">
        <v>15</v>
      </c>
      <c r="H3">
        <f>Tabla1[[#This Row],[Quantité]]*Tabla1[[#This Row],[Prix unitaire (USD)]]</f>
        <v>120</v>
      </c>
    </row>
    <row r="4" spans="1:8" x14ac:dyDescent="0.25">
      <c r="A4" s="2">
        <v>46032</v>
      </c>
      <c r="B4" t="s">
        <v>15</v>
      </c>
      <c r="C4" t="s">
        <v>12</v>
      </c>
      <c r="D4" t="s">
        <v>9</v>
      </c>
      <c r="E4" t="s">
        <v>10</v>
      </c>
      <c r="F4">
        <v>5</v>
      </c>
      <c r="G4">
        <v>25</v>
      </c>
      <c r="H4">
        <f>Tabla1[[#This Row],[Quantité]]*Tabla1[[#This Row],[Prix unitaire (USD)]]</f>
        <v>125</v>
      </c>
    </row>
    <row r="5" spans="1:8" x14ac:dyDescent="0.25">
      <c r="A5" s="2">
        <v>46035</v>
      </c>
      <c r="B5" t="s">
        <v>16</v>
      </c>
      <c r="C5" t="s">
        <v>8</v>
      </c>
      <c r="D5" t="s">
        <v>17</v>
      </c>
      <c r="E5" t="s">
        <v>18</v>
      </c>
      <c r="F5">
        <v>3</v>
      </c>
      <c r="G5">
        <v>180</v>
      </c>
      <c r="H5">
        <f>Tabla1[[#This Row],[Quantité]]*Tabla1[[#This Row],[Prix unitaire (USD)]]</f>
        <v>540</v>
      </c>
    </row>
    <row r="6" spans="1:8" x14ac:dyDescent="0.25">
      <c r="A6" s="2">
        <v>46040</v>
      </c>
      <c r="B6" t="s">
        <v>19</v>
      </c>
      <c r="C6" t="s">
        <v>12</v>
      </c>
      <c r="D6" t="s">
        <v>13</v>
      </c>
      <c r="E6" t="s">
        <v>14</v>
      </c>
      <c r="F6">
        <v>6</v>
      </c>
      <c r="G6">
        <v>40</v>
      </c>
      <c r="H6">
        <f>Tabla1[[#This Row],[Quantité]]*Tabla1[[#This Row],[Prix unitaire (USD)]]</f>
        <v>240</v>
      </c>
    </row>
    <row r="7" spans="1:8" x14ac:dyDescent="0.25">
      <c r="A7" s="2">
        <v>46044</v>
      </c>
      <c r="B7" t="s">
        <v>20</v>
      </c>
      <c r="C7" t="s">
        <v>21</v>
      </c>
      <c r="D7" t="s">
        <v>17</v>
      </c>
      <c r="E7" t="s">
        <v>10</v>
      </c>
      <c r="F7">
        <v>2</v>
      </c>
      <c r="G7">
        <v>150</v>
      </c>
      <c r="H7">
        <f>Tabla1[[#This Row],[Quantité]]*Tabla1[[#This Row],[Prix unitaire (USD)]]</f>
        <v>300</v>
      </c>
    </row>
    <row r="8" spans="1:8" x14ac:dyDescent="0.25">
      <c r="A8" s="2">
        <v>46047</v>
      </c>
      <c r="B8" t="s">
        <v>22</v>
      </c>
      <c r="C8" t="s">
        <v>12</v>
      </c>
      <c r="D8" t="s">
        <v>9</v>
      </c>
      <c r="E8" t="s">
        <v>23</v>
      </c>
      <c r="F8">
        <v>4</v>
      </c>
      <c r="G8">
        <v>55</v>
      </c>
      <c r="H8">
        <f>Tabla1[[#This Row],[Quantité]]*Tabla1[[#This Row],[Prix unitaire (USD)]]</f>
        <v>220</v>
      </c>
    </row>
    <row r="9" spans="1:8" x14ac:dyDescent="0.25">
      <c r="A9" s="2">
        <v>46055</v>
      </c>
      <c r="B9" t="s">
        <v>7</v>
      </c>
      <c r="C9" t="s">
        <v>8</v>
      </c>
      <c r="D9" t="s">
        <v>17</v>
      </c>
      <c r="E9" t="s">
        <v>14</v>
      </c>
      <c r="F9">
        <v>1</v>
      </c>
      <c r="G9">
        <v>450</v>
      </c>
      <c r="H9">
        <f>Tabla1[[#This Row],[Quantité]]*Tabla1[[#This Row],[Prix unitaire (USD)]]</f>
        <v>450</v>
      </c>
    </row>
    <row r="10" spans="1:8" x14ac:dyDescent="0.25">
      <c r="A10" s="2">
        <v>46058</v>
      </c>
      <c r="B10" t="s">
        <v>11</v>
      </c>
      <c r="C10" t="s">
        <v>12</v>
      </c>
      <c r="D10" t="s">
        <v>9</v>
      </c>
      <c r="E10" t="s">
        <v>18</v>
      </c>
      <c r="F10">
        <v>12</v>
      </c>
      <c r="G10">
        <v>15</v>
      </c>
      <c r="H10">
        <f>Tabla1[[#This Row],[Quantité]]*Tabla1[[#This Row],[Prix unitaire (USD)]]</f>
        <v>180</v>
      </c>
    </row>
    <row r="11" spans="1:8" x14ac:dyDescent="0.25">
      <c r="A11" s="2">
        <v>46062</v>
      </c>
      <c r="B11" t="s">
        <v>15</v>
      </c>
      <c r="C11" t="s">
        <v>12</v>
      </c>
      <c r="D11" t="s">
        <v>13</v>
      </c>
      <c r="E11" t="s">
        <v>10</v>
      </c>
      <c r="F11">
        <v>7</v>
      </c>
      <c r="G11">
        <v>25</v>
      </c>
      <c r="H11">
        <f>Tabla1[[#This Row],[Quantité]]*Tabla1[[#This Row],[Prix unitaire (USD)]]</f>
        <v>175</v>
      </c>
    </row>
    <row r="12" spans="1:8" x14ac:dyDescent="0.25">
      <c r="A12" s="2">
        <v>46065</v>
      </c>
      <c r="B12" t="s">
        <v>16</v>
      </c>
      <c r="C12" t="s">
        <v>8</v>
      </c>
      <c r="D12" t="s">
        <v>9</v>
      </c>
      <c r="E12" t="s">
        <v>10</v>
      </c>
      <c r="F12">
        <v>2</v>
      </c>
      <c r="G12">
        <v>180</v>
      </c>
      <c r="H12">
        <f>Tabla1[[#This Row],[Quantité]]*Tabla1[[#This Row],[Prix unitaire (USD)]]</f>
        <v>360</v>
      </c>
    </row>
    <row r="13" spans="1:8" x14ac:dyDescent="0.25">
      <c r="A13" s="2">
        <v>46070</v>
      </c>
      <c r="B13" t="s">
        <v>19</v>
      </c>
      <c r="C13" t="s">
        <v>12</v>
      </c>
      <c r="D13" t="s">
        <v>17</v>
      </c>
      <c r="E13" t="s">
        <v>23</v>
      </c>
      <c r="F13">
        <v>5</v>
      </c>
      <c r="G13">
        <v>40</v>
      </c>
      <c r="H13">
        <f>Tabla1[[#This Row],[Quantité]]*Tabla1[[#This Row],[Prix unitaire (USD)]]</f>
        <v>200</v>
      </c>
    </row>
    <row r="14" spans="1:8" x14ac:dyDescent="0.25">
      <c r="A14" s="2">
        <v>46073</v>
      </c>
      <c r="B14" t="s">
        <v>20</v>
      </c>
      <c r="C14" t="s">
        <v>21</v>
      </c>
      <c r="D14" t="s">
        <v>13</v>
      </c>
      <c r="E14" t="s">
        <v>14</v>
      </c>
      <c r="F14">
        <v>3</v>
      </c>
      <c r="G14">
        <v>150</v>
      </c>
      <c r="H14">
        <f>Tabla1[[#This Row],[Quantité]]*Tabla1[[#This Row],[Prix unitaire (USD)]]</f>
        <v>450</v>
      </c>
    </row>
    <row r="15" spans="1:8" x14ac:dyDescent="0.25">
      <c r="A15" s="2">
        <v>46077</v>
      </c>
      <c r="B15" t="s">
        <v>22</v>
      </c>
      <c r="C15" t="s">
        <v>12</v>
      </c>
      <c r="D15" t="s">
        <v>17</v>
      </c>
      <c r="E15" t="s">
        <v>18</v>
      </c>
      <c r="F15">
        <v>6</v>
      </c>
      <c r="G15">
        <v>55</v>
      </c>
      <c r="H15">
        <f>Tabla1[[#This Row],[Quantité]]*Tabla1[[#This Row],[Prix unitaire (USD)]]</f>
        <v>330</v>
      </c>
    </row>
    <row r="16" spans="1:8" x14ac:dyDescent="0.25">
      <c r="A16" s="2">
        <v>46084</v>
      </c>
      <c r="B16" t="s">
        <v>7</v>
      </c>
      <c r="C16" t="s">
        <v>8</v>
      </c>
      <c r="D16" t="s">
        <v>13</v>
      </c>
      <c r="E16" t="s">
        <v>10</v>
      </c>
      <c r="F16">
        <v>3</v>
      </c>
      <c r="G16">
        <v>450</v>
      </c>
      <c r="H16">
        <f>Tabla1[[#This Row],[Quantité]]*Tabla1[[#This Row],[Prix unitaire (USD)]]</f>
        <v>1350</v>
      </c>
    </row>
    <row r="17" spans="1:8" x14ac:dyDescent="0.25">
      <c r="A17" s="2">
        <v>46087</v>
      </c>
      <c r="B17" t="s">
        <v>11</v>
      </c>
      <c r="C17" t="s">
        <v>12</v>
      </c>
      <c r="D17" t="s">
        <v>17</v>
      </c>
      <c r="E17" t="s">
        <v>23</v>
      </c>
      <c r="F17">
        <v>10</v>
      </c>
      <c r="G17">
        <v>15</v>
      </c>
      <c r="H17">
        <f>Tabla1[[#This Row],[Quantité]]*Tabla1[[#This Row],[Prix unitaire (USD)]]</f>
        <v>150</v>
      </c>
    </row>
    <row r="18" spans="1:8" x14ac:dyDescent="0.25">
      <c r="A18" s="2">
        <v>46090</v>
      </c>
      <c r="B18" t="s">
        <v>15</v>
      </c>
      <c r="C18" t="s">
        <v>12</v>
      </c>
      <c r="D18" t="s">
        <v>9</v>
      </c>
      <c r="E18" t="s">
        <v>14</v>
      </c>
      <c r="F18">
        <v>9</v>
      </c>
      <c r="G18">
        <v>25</v>
      </c>
      <c r="H18">
        <f>Tabla1[[#This Row],[Quantité]]*Tabla1[[#This Row],[Prix unitaire (USD)]]</f>
        <v>225</v>
      </c>
    </row>
    <row r="19" spans="1:8" x14ac:dyDescent="0.25">
      <c r="A19" s="2">
        <v>46095</v>
      </c>
      <c r="B19" t="s">
        <v>16</v>
      </c>
      <c r="C19" t="s">
        <v>8</v>
      </c>
      <c r="D19" t="s">
        <v>17</v>
      </c>
      <c r="E19" t="s">
        <v>10</v>
      </c>
      <c r="F19">
        <v>4</v>
      </c>
      <c r="G19">
        <v>180</v>
      </c>
      <c r="H19">
        <f>Tabla1[[#This Row],[Quantité]]*Tabla1[[#This Row],[Prix unitaire (USD)]]</f>
        <v>720</v>
      </c>
    </row>
    <row r="20" spans="1:8" x14ac:dyDescent="0.25">
      <c r="A20" s="2">
        <v>46100</v>
      </c>
      <c r="B20" t="s">
        <v>19</v>
      </c>
      <c r="C20" t="s">
        <v>12</v>
      </c>
      <c r="D20" t="s">
        <v>9</v>
      </c>
      <c r="E20" t="s">
        <v>18</v>
      </c>
      <c r="F20">
        <v>8</v>
      </c>
      <c r="G20">
        <v>40</v>
      </c>
      <c r="H20">
        <f>Tabla1[[#This Row],[Quantité]]*Tabla1[[#This Row],[Prix unitaire (USD)]]</f>
        <v>320</v>
      </c>
    </row>
    <row r="21" spans="1:8" x14ac:dyDescent="0.25">
      <c r="A21" s="2">
        <v>46104</v>
      </c>
      <c r="B21" t="s">
        <v>20</v>
      </c>
      <c r="C21" t="s">
        <v>21</v>
      </c>
      <c r="D21" t="s">
        <v>17</v>
      </c>
      <c r="E21" t="s">
        <v>23</v>
      </c>
      <c r="F21">
        <v>2</v>
      </c>
      <c r="G21">
        <v>150</v>
      </c>
      <c r="H21">
        <f>Tabla1[[#This Row],[Quantité]]*Tabla1[[#This Row],[Prix unitaire (USD)]]</f>
        <v>300</v>
      </c>
    </row>
    <row r="22" spans="1:8" x14ac:dyDescent="0.25">
      <c r="A22" s="2">
        <v>46109</v>
      </c>
      <c r="B22" t="s">
        <v>22</v>
      </c>
      <c r="C22" t="s">
        <v>12</v>
      </c>
      <c r="D22" t="s">
        <v>13</v>
      </c>
      <c r="E22" t="s">
        <v>14</v>
      </c>
      <c r="F22">
        <v>7</v>
      </c>
      <c r="G22">
        <v>55</v>
      </c>
      <c r="H22">
        <f>Tabla1[[#This Row],[Quantité]]*Tabla1[[#This Row],[Prix unitaire (USD)]]</f>
        <v>385</v>
      </c>
    </row>
    <row r="23" spans="1:8" x14ac:dyDescent="0.25">
      <c r="A23" s="2">
        <v>46116</v>
      </c>
      <c r="B23" t="s">
        <v>7</v>
      </c>
      <c r="C23" t="s">
        <v>8</v>
      </c>
      <c r="D23" t="s">
        <v>9</v>
      </c>
      <c r="E23" t="s">
        <v>10</v>
      </c>
      <c r="F23">
        <v>2</v>
      </c>
      <c r="G23">
        <v>450</v>
      </c>
      <c r="H23">
        <f>Tabla1[[#This Row],[Quantité]]*Tabla1[[#This Row],[Prix unitaire (USD)]]</f>
        <v>900</v>
      </c>
    </row>
    <row r="24" spans="1:8" x14ac:dyDescent="0.25">
      <c r="A24" s="2">
        <v>46120</v>
      </c>
      <c r="B24" t="s">
        <v>11</v>
      </c>
      <c r="C24" t="s">
        <v>12</v>
      </c>
      <c r="D24" t="s">
        <v>13</v>
      </c>
      <c r="E24" t="s">
        <v>18</v>
      </c>
      <c r="F24">
        <v>15</v>
      </c>
      <c r="G24">
        <v>15</v>
      </c>
      <c r="H24">
        <f>Tabla1[[#This Row],[Quantité]]*Tabla1[[#This Row],[Prix unitaire (USD)]]</f>
        <v>225</v>
      </c>
    </row>
    <row r="25" spans="1:8" x14ac:dyDescent="0.25">
      <c r="A25" s="2">
        <v>46123</v>
      </c>
      <c r="B25" t="s">
        <v>15</v>
      </c>
      <c r="C25" t="s">
        <v>12</v>
      </c>
      <c r="D25" t="s">
        <v>17</v>
      </c>
      <c r="E25" t="s">
        <v>23</v>
      </c>
      <c r="F25">
        <v>6</v>
      </c>
      <c r="G25">
        <v>25</v>
      </c>
      <c r="H25">
        <f>Tabla1[[#This Row],[Quantité]]*Tabla1[[#This Row],[Prix unitaire (USD)]]</f>
        <v>150</v>
      </c>
    </row>
    <row r="26" spans="1:8" x14ac:dyDescent="0.25">
      <c r="A26" s="2">
        <v>46127</v>
      </c>
      <c r="B26" t="s">
        <v>16</v>
      </c>
      <c r="C26" t="s">
        <v>8</v>
      </c>
      <c r="D26" t="s">
        <v>9</v>
      </c>
      <c r="E26" t="s">
        <v>14</v>
      </c>
      <c r="F26">
        <v>3</v>
      </c>
      <c r="G26">
        <v>180</v>
      </c>
      <c r="H26">
        <f>Tabla1[[#This Row],[Quantité]]*Tabla1[[#This Row],[Prix unitaire (USD)]]</f>
        <v>540</v>
      </c>
    </row>
    <row r="27" spans="1:8" x14ac:dyDescent="0.25">
      <c r="A27" s="2">
        <v>46132</v>
      </c>
      <c r="B27" t="s">
        <v>19</v>
      </c>
      <c r="C27" t="s">
        <v>12</v>
      </c>
      <c r="D27" t="s">
        <v>17</v>
      </c>
      <c r="E27" t="s">
        <v>10</v>
      </c>
      <c r="F27">
        <v>9</v>
      </c>
      <c r="G27">
        <v>40</v>
      </c>
      <c r="H27">
        <f>Tabla1[[#This Row],[Quantité]]*Tabla1[[#This Row],[Prix unitaire (USD)]]</f>
        <v>360</v>
      </c>
    </row>
    <row r="28" spans="1:8" x14ac:dyDescent="0.25">
      <c r="A28" s="2">
        <v>46136</v>
      </c>
      <c r="B28" t="s">
        <v>20</v>
      </c>
      <c r="C28" t="s">
        <v>21</v>
      </c>
      <c r="D28" t="s">
        <v>13</v>
      </c>
      <c r="E28" t="s">
        <v>18</v>
      </c>
      <c r="F28">
        <v>2</v>
      </c>
      <c r="G28">
        <v>150</v>
      </c>
      <c r="H28">
        <f>Tabla1[[#This Row],[Quantité]]*Tabla1[[#This Row],[Prix unitaire (USD)]]</f>
        <v>300</v>
      </c>
    </row>
    <row r="29" spans="1:8" x14ac:dyDescent="0.25">
      <c r="A29" s="2">
        <v>46141</v>
      </c>
      <c r="B29" t="s">
        <v>22</v>
      </c>
      <c r="C29" t="s">
        <v>12</v>
      </c>
      <c r="D29" t="s">
        <v>9</v>
      </c>
      <c r="E29" t="s">
        <v>23</v>
      </c>
      <c r="F29">
        <v>5</v>
      </c>
      <c r="G29">
        <v>55</v>
      </c>
      <c r="H29">
        <f>Tabla1[[#This Row],[Quantité]]*Tabla1[[#This Row],[Prix unitaire (USD)]]</f>
        <v>275</v>
      </c>
    </row>
    <row r="30" spans="1:8" x14ac:dyDescent="0.25">
      <c r="A30" s="2">
        <v>46144</v>
      </c>
      <c r="B30" t="s">
        <v>7</v>
      </c>
      <c r="C30" t="s">
        <v>8</v>
      </c>
      <c r="D30" t="s">
        <v>17</v>
      </c>
      <c r="E30" t="s">
        <v>14</v>
      </c>
      <c r="F30">
        <v>2</v>
      </c>
      <c r="G30">
        <v>450</v>
      </c>
      <c r="H30">
        <f>Tabla1[[#This Row],[Quantité]]*Tabla1[[#This Row],[Prix unitaire (USD)]]</f>
        <v>900</v>
      </c>
    </row>
    <row r="31" spans="1:8" x14ac:dyDescent="0.25">
      <c r="A31" s="2">
        <v>46149</v>
      </c>
      <c r="B31" t="s">
        <v>11</v>
      </c>
      <c r="C31" t="s">
        <v>12</v>
      </c>
      <c r="D31" t="s">
        <v>9</v>
      </c>
      <c r="E31" t="s">
        <v>10</v>
      </c>
      <c r="F31">
        <v>11</v>
      </c>
      <c r="G31">
        <v>15</v>
      </c>
      <c r="H31">
        <f>Tabla1[[#This Row],[Quantité]]*Tabla1[[#This Row],[Prix unitaire (USD)]]</f>
        <v>165</v>
      </c>
    </row>
    <row r="32" spans="1:8" x14ac:dyDescent="0.25">
      <c r="A32" s="2">
        <v>46152</v>
      </c>
      <c r="B32" t="s">
        <v>15</v>
      </c>
      <c r="C32" t="s">
        <v>12</v>
      </c>
      <c r="D32" t="s">
        <v>13</v>
      </c>
      <c r="E32" t="s">
        <v>18</v>
      </c>
      <c r="F32">
        <v>10</v>
      </c>
      <c r="G32">
        <v>25</v>
      </c>
      <c r="H32">
        <f>Tabla1[[#This Row],[Quantité]]*Tabla1[[#This Row],[Prix unitaire (USD)]]</f>
        <v>250</v>
      </c>
    </row>
    <row r="33" spans="1:8" x14ac:dyDescent="0.25">
      <c r="A33" s="2">
        <v>46156</v>
      </c>
      <c r="B33" t="s">
        <v>16</v>
      </c>
      <c r="C33" t="s">
        <v>8</v>
      </c>
      <c r="D33" t="s">
        <v>17</v>
      </c>
      <c r="E33" t="s">
        <v>23</v>
      </c>
      <c r="F33">
        <v>2</v>
      </c>
      <c r="G33">
        <v>180</v>
      </c>
      <c r="H33">
        <f>Tabla1[[#This Row],[Quantité]]*Tabla1[[#This Row],[Prix unitaire (USD)]]</f>
        <v>360</v>
      </c>
    </row>
    <row r="34" spans="1:8" x14ac:dyDescent="0.25">
      <c r="A34" s="2">
        <v>46161</v>
      </c>
      <c r="B34" t="s">
        <v>19</v>
      </c>
      <c r="C34" t="s">
        <v>12</v>
      </c>
      <c r="D34" t="s">
        <v>9</v>
      </c>
      <c r="E34" t="s">
        <v>14</v>
      </c>
      <c r="F34">
        <v>12</v>
      </c>
      <c r="G34">
        <v>40</v>
      </c>
      <c r="H34">
        <f>Tabla1[[#This Row],[Quantité]]*Tabla1[[#This Row],[Prix unitaire (USD)]]</f>
        <v>480</v>
      </c>
    </row>
    <row r="35" spans="1:8" x14ac:dyDescent="0.25">
      <c r="A35" s="2">
        <v>46165</v>
      </c>
      <c r="B35" t="s">
        <v>20</v>
      </c>
      <c r="C35" t="s">
        <v>21</v>
      </c>
      <c r="D35" t="s">
        <v>17</v>
      </c>
      <c r="E35" t="s">
        <v>10</v>
      </c>
      <c r="F35">
        <v>3</v>
      </c>
      <c r="G35">
        <v>150</v>
      </c>
      <c r="H35">
        <f>Tabla1[[#This Row],[Quantité]]*Tabla1[[#This Row],[Prix unitaire (USD)]]</f>
        <v>450</v>
      </c>
    </row>
    <row r="36" spans="1:8" x14ac:dyDescent="0.25">
      <c r="A36" s="2">
        <v>46170</v>
      </c>
      <c r="B36" t="s">
        <v>22</v>
      </c>
      <c r="C36" t="s">
        <v>12</v>
      </c>
      <c r="D36" t="s">
        <v>13</v>
      </c>
      <c r="E36" t="s">
        <v>18</v>
      </c>
      <c r="F36">
        <v>8</v>
      </c>
      <c r="G36">
        <v>55</v>
      </c>
      <c r="H36">
        <f>Tabla1[[#This Row],[Quantité]]*Tabla1[[#This Row],[Prix unitaire (USD)]]</f>
        <v>440</v>
      </c>
    </row>
    <row r="37" spans="1:8" x14ac:dyDescent="0.25">
      <c r="A37" s="2">
        <v>46176</v>
      </c>
      <c r="B37" t="s">
        <v>7</v>
      </c>
      <c r="C37" t="s">
        <v>8</v>
      </c>
      <c r="D37" t="s">
        <v>13</v>
      </c>
      <c r="E37" t="s">
        <v>23</v>
      </c>
      <c r="F37">
        <v>1</v>
      </c>
      <c r="G37">
        <v>450</v>
      </c>
      <c r="H37">
        <f>Tabla1[[#This Row],[Quantité]]*Tabla1[[#This Row],[Prix unitaire (USD)]]</f>
        <v>450</v>
      </c>
    </row>
    <row r="38" spans="1:8" x14ac:dyDescent="0.25">
      <c r="A38" s="2">
        <v>46179</v>
      </c>
      <c r="B38" t="s">
        <v>11</v>
      </c>
      <c r="C38" t="s">
        <v>12</v>
      </c>
      <c r="D38" t="s">
        <v>17</v>
      </c>
      <c r="E38" t="s">
        <v>14</v>
      </c>
      <c r="F38">
        <v>14</v>
      </c>
      <c r="G38">
        <v>15</v>
      </c>
      <c r="H38">
        <f>Tabla1[[#This Row],[Quantité]]*Tabla1[[#This Row],[Prix unitaire (USD)]]</f>
        <v>210</v>
      </c>
    </row>
    <row r="39" spans="1:8" x14ac:dyDescent="0.25">
      <c r="A39" s="2">
        <v>46183</v>
      </c>
      <c r="B39" t="s">
        <v>15</v>
      </c>
      <c r="C39" t="s">
        <v>12</v>
      </c>
      <c r="D39" t="s">
        <v>9</v>
      </c>
      <c r="E39" t="s">
        <v>10</v>
      </c>
      <c r="F39">
        <v>8</v>
      </c>
      <c r="G39">
        <v>25</v>
      </c>
      <c r="H39">
        <f>Tabla1[[#This Row],[Quantité]]*Tabla1[[#This Row],[Prix unitaire (USD)]]</f>
        <v>200</v>
      </c>
    </row>
    <row r="40" spans="1:8" x14ac:dyDescent="0.25">
      <c r="A40" s="2">
        <v>46188</v>
      </c>
      <c r="B40" t="s">
        <v>16</v>
      </c>
      <c r="C40" t="s">
        <v>8</v>
      </c>
      <c r="D40" t="s">
        <v>13</v>
      </c>
      <c r="E40" t="s">
        <v>18</v>
      </c>
      <c r="F40">
        <v>3</v>
      </c>
      <c r="G40">
        <v>180</v>
      </c>
      <c r="H40">
        <f>Tabla1[[#This Row],[Quantité]]*Tabla1[[#This Row],[Prix unitaire (USD)]]</f>
        <v>540</v>
      </c>
    </row>
    <row r="41" spans="1:8" x14ac:dyDescent="0.25">
      <c r="A41" s="2">
        <v>46192</v>
      </c>
      <c r="B41" t="s">
        <v>19</v>
      </c>
      <c r="C41" t="s">
        <v>12</v>
      </c>
      <c r="D41" t="s">
        <v>17</v>
      </c>
      <c r="E41" t="s">
        <v>23</v>
      </c>
      <c r="F41">
        <v>10</v>
      </c>
      <c r="G41">
        <v>40</v>
      </c>
      <c r="H41">
        <f>Tabla1[[#This Row],[Quantité]]*Tabla1[[#This Row],[Prix unitaire (USD)]]</f>
        <v>400</v>
      </c>
    </row>
    <row r="42" spans="1:8" x14ac:dyDescent="0.25">
      <c r="A42" s="2">
        <v>46196</v>
      </c>
      <c r="B42" t="s">
        <v>20</v>
      </c>
      <c r="C42" t="s">
        <v>21</v>
      </c>
      <c r="D42" t="s">
        <v>9</v>
      </c>
      <c r="E42" t="s">
        <v>14</v>
      </c>
      <c r="F42">
        <v>2</v>
      </c>
      <c r="G42">
        <v>150</v>
      </c>
      <c r="H42">
        <f>Tabla1[[#This Row],[Quantité]]*Tabla1[[#This Row],[Prix unitaire (USD)]]</f>
        <v>300</v>
      </c>
    </row>
    <row r="43" spans="1:8" x14ac:dyDescent="0.25">
      <c r="A43" s="2">
        <v>46201</v>
      </c>
      <c r="B43" t="s">
        <v>22</v>
      </c>
      <c r="C43" t="s">
        <v>12</v>
      </c>
      <c r="D43" t="s">
        <v>17</v>
      </c>
      <c r="E43" t="s">
        <v>10</v>
      </c>
      <c r="F43">
        <v>9</v>
      </c>
      <c r="G43">
        <v>55</v>
      </c>
      <c r="H43">
        <f>Tabla1[[#This Row],[Quantité]]*Tabla1[[#This Row],[Prix unitaire (USD)]]</f>
        <v>495</v>
      </c>
    </row>
    <row r="44" spans="1:8" x14ac:dyDescent="0.25">
      <c r="A44" s="2">
        <v>46206</v>
      </c>
      <c r="B44" t="s">
        <v>7</v>
      </c>
      <c r="C44" t="s">
        <v>8</v>
      </c>
      <c r="D44" t="s">
        <v>9</v>
      </c>
      <c r="E44" t="s">
        <v>18</v>
      </c>
      <c r="F44">
        <v>2</v>
      </c>
      <c r="G44">
        <v>450</v>
      </c>
      <c r="H44">
        <f>Tabla1[[#This Row],[Quantité]]*Tabla1[[#This Row],[Prix unitaire (USD)]]</f>
        <v>900</v>
      </c>
    </row>
    <row r="45" spans="1:8" x14ac:dyDescent="0.25">
      <c r="A45" s="2">
        <v>46211</v>
      </c>
      <c r="B45" t="s">
        <v>11</v>
      </c>
      <c r="C45" t="s">
        <v>12</v>
      </c>
      <c r="D45" t="s">
        <v>13</v>
      </c>
      <c r="E45" t="s">
        <v>23</v>
      </c>
      <c r="F45">
        <v>13</v>
      </c>
      <c r="G45">
        <v>15</v>
      </c>
      <c r="H45">
        <f>Tabla1[[#This Row],[Quantité]]*Tabla1[[#This Row],[Prix unitaire (USD)]]</f>
        <v>195</v>
      </c>
    </row>
    <row r="46" spans="1:8" x14ac:dyDescent="0.25">
      <c r="A46" s="2">
        <v>46215</v>
      </c>
      <c r="B46" t="s">
        <v>15</v>
      </c>
      <c r="C46" t="s">
        <v>12</v>
      </c>
      <c r="D46" t="s">
        <v>17</v>
      </c>
      <c r="E46" t="s">
        <v>14</v>
      </c>
      <c r="F46">
        <v>11</v>
      </c>
      <c r="G46">
        <v>25</v>
      </c>
      <c r="H46">
        <f>Tabla1[[#This Row],[Quantité]]*Tabla1[[#This Row],[Prix unitaire (USD)]]</f>
        <v>275</v>
      </c>
    </row>
    <row r="47" spans="1:8" x14ac:dyDescent="0.25">
      <c r="A47" s="2">
        <v>46219</v>
      </c>
      <c r="B47" t="s">
        <v>16</v>
      </c>
      <c r="C47" t="s">
        <v>8</v>
      </c>
      <c r="D47" t="s">
        <v>9</v>
      </c>
      <c r="E47" t="s">
        <v>10</v>
      </c>
      <c r="F47">
        <v>2</v>
      </c>
      <c r="G47">
        <v>180</v>
      </c>
      <c r="H47">
        <f>Tabla1[[#This Row],[Quantité]]*Tabla1[[#This Row],[Prix unitaire (USD)]]</f>
        <v>360</v>
      </c>
    </row>
    <row r="48" spans="1:8" x14ac:dyDescent="0.25">
      <c r="A48" s="2">
        <v>46224</v>
      </c>
      <c r="B48" t="s">
        <v>19</v>
      </c>
      <c r="C48" t="s">
        <v>12</v>
      </c>
      <c r="D48" t="s">
        <v>13</v>
      </c>
      <c r="E48" t="s">
        <v>18</v>
      </c>
      <c r="F48">
        <v>11</v>
      </c>
      <c r="G48">
        <v>40</v>
      </c>
      <c r="H48">
        <f>Tabla1[[#This Row],[Quantité]]*Tabla1[[#This Row],[Prix unitaire (USD)]]</f>
        <v>440</v>
      </c>
    </row>
    <row r="49" spans="1:8" x14ac:dyDescent="0.25">
      <c r="A49" s="2">
        <v>46228</v>
      </c>
      <c r="B49" t="s">
        <v>20</v>
      </c>
      <c r="C49" t="s">
        <v>21</v>
      </c>
      <c r="D49" t="s">
        <v>17</v>
      </c>
      <c r="E49" t="s">
        <v>23</v>
      </c>
      <c r="F49">
        <v>3</v>
      </c>
      <c r="G49">
        <v>150</v>
      </c>
      <c r="H49">
        <f>Tabla1[[#This Row],[Quantité]]*Tabla1[[#This Row],[Prix unitaire (USD)]]</f>
        <v>450</v>
      </c>
    </row>
    <row r="50" spans="1:8" x14ac:dyDescent="0.25">
      <c r="A50" s="2">
        <v>46232</v>
      </c>
      <c r="B50" t="s">
        <v>22</v>
      </c>
      <c r="C50" t="s">
        <v>12</v>
      </c>
      <c r="D50" t="s">
        <v>9</v>
      </c>
      <c r="E50" t="s">
        <v>14</v>
      </c>
      <c r="F50">
        <v>7</v>
      </c>
      <c r="G50">
        <v>55</v>
      </c>
      <c r="H50">
        <f>Tabla1[[#This Row],[Quantité]]*Tabla1[[#This Row],[Prix unitaire (USD)]]</f>
        <v>385</v>
      </c>
    </row>
    <row r="51" spans="1:8" x14ac:dyDescent="0.25">
      <c r="A51" s="2"/>
      <c r="H51">
        <f>SUM(Tabla1[Montant de ventes])</f>
        <v>19435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election activeCell="G2" sqref="G2"/>
    </sheetView>
  </sheetViews>
  <sheetFormatPr defaultColWidth="9.140625" defaultRowHeight="15" x14ac:dyDescent="0.25"/>
  <cols>
    <col min="1" max="1" width="31.28515625" customWidth="1"/>
    <col min="2" max="2" width="16.7109375" customWidth="1"/>
    <col min="3" max="3" width="63.5703125" customWidth="1"/>
    <col min="4" max="4" width="17.140625" customWidth="1"/>
    <col min="5" max="5" width="26" customWidth="1"/>
  </cols>
  <sheetData>
    <row r="1" spans="1:5" x14ac:dyDescent="0.25">
      <c r="A1" s="1" t="s">
        <v>24</v>
      </c>
      <c r="B1" s="1" t="s">
        <v>25</v>
      </c>
      <c r="C1" s="1" t="s">
        <v>26</v>
      </c>
      <c r="D1" s="1" t="s">
        <v>27</v>
      </c>
      <c r="E1" s="1" t="s">
        <v>28</v>
      </c>
    </row>
    <row r="2" spans="1:5" x14ac:dyDescent="0.25">
      <c r="A2" t="s">
        <v>29</v>
      </c>
      <c r="B2" t="s">
        <v>30</v>
      </c>
      <c r="C2" t="s">
        <v>31</v>
      </c>
      <c r="D2" t="s">
        <v>32</v>
      </c>
      <c r="E2" t="s">
        <v>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D13" sqref="D13"/>
    </sheetView>
  </sheetViews>
  <sheetFormatPr defaultColWidth="9.140625" defaultRowHeight="15" x14ac:dyDescent="0.25"/>
  <cols>
    <col min="2" max="2" width="45" customWidth="1"/>
    <col min="3" max="3" width="16.85546875" customWidth="1"/>
  </cols>
  <sheetData>
    <row r="1" spans="1:3" x14ac:dyDescent="0.25">
      <c r="A1" s="1" t="s">
        <v>34</v>
      </c>
      <c r="B1" s="1" t="s">
        <v>35</v>
      </c>
      <c r="C1" s="1" t="s">
        <v>36</v>
      </c>
    </row>
    <row r="2" spans="1:3" x14ac:dyDescent="0.25">
      <c r="A2">
        <v>1</v>
      </c>
      <c r="B2" t="s">
        <v>37</v>
      </c>
      <c r="C2" t="s">
        <v>38</v>
      </c>
    </row>
    <row r="3" spans="1:3" x14ac:dyDescent="0.25">
      <c r="A3">
        <v>2</v>
      </c>
      <c r="B3" t="s">
        <v>39</v>
      </c>
      <c r="C3" t="s">
        <v>38</v>
      </c>
    </row>
    <row r="4" spans="1:3" x14ac:dyDescent="0.25">
      <c r="A4">
        <v>3</v>
      </c>
      <c r="B4" t="s">
        <v>40</v>
      </c>
      <c r="C4" t="s">
        <v>38</v>
      </c>
    </row>
    <row r="5" spans="1:3" x14ac:dyDescent="0.25">
      <c r="A5">
        <v>4</v>
      </c>
      <c r="B5" t="s">
        <v>41</v>
      </c>
      <c r="C5" t="s">
        <v>38</v>
      </c>
    </row>
    <row r="6" spans="1:3" x14ac:dyDescent="0.25">
      <c r="A6">
        <v>5</v>
      </c>
      <c r="B6" t="s">
        <v>42</v>
      </c>
      <c r="C6" t="s">
        <v>38</v>
      </c>
    </row>
    <row r="7" spans="1:3" x14ac:dyDescent="0.25">
      <c r="A7">
        <v>6</v>
      </c>
      <c r="B7" t="s">
        <v>43</v>
      </c>
      <c r="C7" t="s">
        <v>38</v>
      </c>
    </row>
    <row r="8" spans="1:3" x14ac:dyDescent="0.25">
      <c r="A8">
        <v>7</v>
      </c>
      <c r="B8" t="s">
        <v>44</v>
      </c>
      <c r="C8"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Analyse des ventes par ville</vt:lpstr>
      <vt:lpstr>Dashboard graphique</vt:lpstr>
      <vt:lpstr>Tableau croise dynamique</vt:lpstr>
      <vt:lpstr>Donnees_Ventes</vt:lpstr>
      <vt:lpstr>Infos_Projet</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SANDJEEV  BELVAL</cp:lastModifiedBy>
  <dcterms:created xsi:type="dcterms:W3CDTF">2026-08-30T20:30:43Z</dcterms:created>
  <dcterms:modified xsi:type="dcterms:W3CDTF">2026-08-31T22:00:33Z</dcterms:modified>
</cp:coreProperties>
</file>